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 Códigos" sheetId="1" state="visible" r:id="rId1"/>
    <sheet xmlns:r="http://schemas.openxmlformats.org/officeDocument/2006/relationships" name="Turno Mañana" sheetId="2" state="visible" r:id="rId2"/>
    <sheet xmlns:r="http://schemas.openxmlformats.org/officeDocument/2006/relationships" name="Turno Tarde" sheetId="3" state="visible" r:id="rId3"/>
    <sheet xmlns:r="http://schemas.openxmlformats.org/officeDocument/2006/relationships" name="Turno Noche" sheetId="4" state="visible" r:id="rId4"/>
    <sheet xmlns:r="http://schemas.openxmlformats.org/officeDocument/2006/relationships" name="Resumen Diario" sheetId="5" state="visible" r:id="rId5"/>
    <sheet xmlns:r="http://schemas.openxmlformats.org/officeDocument/2006/relationships" name="Informe Ejecutiv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 &quot;min&quot;"/>
    <numFmt numFmtId="166" formatCode="#,##0 &quot;Casos&quot;"/>
    <numFmt numFmtId="167" formatCode="#,##0 &quot;paradas&quot;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FFFFFF"/>
      <sz val="9"/>
    </font>
    <font>
      <name val="Calibri"/>
      <color rgb="00334155"/>
      <sz val="9"/>
    </font>
    <font>
      <name val="Calibri"/>
      <b val="1"/>
      <color rgb="000F172A"/>
      <sz val="11"/>
    </font>
    <font>
      <name val="Calibri"/>
      <b val="1"/>
      <color rgb="000F172A"/>
      <sz val="9"/>
    </font>
    <font>
      <name val="Calibri"/>
      <b val="1"/>
      <color rgb="00047857"/>
      <sz val="11"/>
    </font>
    <font>
      <name val="Calibri"/>
      <b val="1"/>
      <color rgb="00047857"/>
      <sz val="9"/>
    </font>
    <font>
      <name val="Calibri"/>
      <b val="1"/>
      <color rgb="000F172A"/>
      <sz val="10"/>
    </font>
    <font>
      <name val="Calibri"/>
      <b val="1"/>
      <color rgb="0064748B"/>
      <sz val="9"/>
    </font>
    <font>
      <name val="Calibri"/>
      <b val="1"/>
      <color rgb="00EF4444"/>
      <sz val="20"/>
    </font>
    <font>
      <name val="Calibri"/>
      <i val="1"/>
      <color rgb="0064748B"/>
      <sz val="8"/>
    </font>
    <font>
      <name val="Calibri"/>
      <b val="1"/>
      <color rgb="00F59E0B"/>
      <sz val="20"/>
    </font>
    <font>
      <name val="Calibri"/>
      <b val="1"/>
      <color rgb="0010B981"/>
      <sz val="20"/>
    </font>
    <font>
      <name val="Calibri"/>
      <b val="1"/>
      <color rgb="006366F1"/>
      <sz val="20"/>
    </font>
  </fonts>
  <fills count="11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334155"/>
        <bgColor rgb="00334155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047857"/>
        <bgColor rgb="00047857"/>
      </patternFill>
    </fill>
    <fill>
      <patternFill patternType="solid">
        <fgColor rgb="00F0FDF4"/>
        <bgColor rgb="00F0FDF4"/>
      </patternFill>
    </fill>
    <fill>
      <patternFill patternType="solid">
        <fgColor rgb="001E3A8A"/>
        <bgColor rgb="001E3A8A"/>
      </patternFill>
    </fill>
    <fill>
      <patternFill patternType="solid">
        <fgColor rgb="001E293B"/>
        <bgColor rgb="001E293B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0F172A"/>
      </top>
      <bottom style="double">
        <color rgb="000F172A"/>
      </bottom>
    </border>
    <border>
      <left style="medium">
        <color rgb="000F172A"/>
      </left>
      <right style="medium">
        <color rgb="000F172A"/>
      </right>
      <top style="medium">
        <color rgb="000F172A"/>
      </top>
      <bottom style="medium">
        <color rgb="000F172A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0" borderId="0" pivotButton="0" quotePrefix="0" xfId="0"/>
    <xf numFmtId="3" fontId="3" fillId="4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right" vertical="center"/>
    </xf>
    <xf numFmtId="0" fontId="5" fillId="6" borderId="2" applyAlignment="1" pivotButton="0" quotePrefix="0" xfId="0">
      <alignment horizontal="center" vertical="center"/>
    </xf>
    <xf numFmtId="0" fontId="0" fillId="0" borderId="2" pivotButton="0" quotePrefix="0" xfId="0"/>
    <xf numFmtId="3" fontId="5" fillId="6" borderId="2" applyAlignment="1" pivotButton="0" quotePrefix="0" xfId="0">
      <alignment horizontal="right" vertical="center"/>
    </xf>
    <xf numFmtId="0" fontId="6" fillId="0" borderId="0" pivotButton="0" quotePrefix="0" xfId="0"/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0" fontId="8" fillId="6" borderId="3" applyAlignment="1" pivotButton="0" quotePrefix="0" xfId="0">
      <alignment horizontal="center" vertical="center"/>
    </xf>
    <xf numFmtId="164" fontId="3" fillId="5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center" vertical="center"/>
    </xf>
    <xf numFmtId="164" fontId="5" fillId="6" borderId="2" applyAlignment="1" pivotButton="0" quotePrefix="0" xfId="0">
      <alignment horizontal="right" vertical="center"/>
    </xf>
    <xf numFmtId="3" fontId="5" fillId="6" borderId="2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0" fillId="0" borderId="1" pivotButton="0" quotePrefix="0" xfId="0"/>
    <xf numFmtId="165" fontId="10" fillId="5" borderId="1" applyAlignment="1" pivotButton="0" quotePrefix="0" xfId="0">
      <alignment horizontal="center" vertical="center"/>
    </xf>
    <xf numFmtId="165" fontId="12" fillId="5" borderId="1" applyAlignment="1" pivotButton="0" quotePrefix="0" xfId="0">
      <alignment horizontal="center" vertical="center"/>
    </xf>
    <xf numFmtId="164" fontId="13" fillId="5" borderId="1" applyAlignment="1" pivotButton="0" quotePrefix="0" xfId="0">
      <alignment horizontal="center" vertical="center"/>
    </xf>
    <xf numFmtId="166" fontId="14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8" fillId="0" borderId="0" pivotButton="0" quotePrefix="0" xfId="0"/>
    <xf numFmtId="165" fontId="3" fillId="4" borderId="1" applyAlignment="1" pivotButton="0" quotePrefix="0" xfId="0">
      <alignment horizontal="right" vertical="center"/>
    </xf>
    <xf numFmtId="167" fontId="3" fillId="4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right" vertical="center"/>
    </xf>
    <xf numFmtId="167" fontId="3" fillId="5" borderId="1" applyAlignment="1" pivotButton="0" quotePrefix="0" xfId="0">
      <alignment horizontal="center" vertical="center"/>
    </xf>
    <xf numFmtId="165" fontId="5" fillId="6" borderId="2" applyAlignment="1" pivotButton="0" quotePrefix="0" xfId="0">
      <alignment horizontal="right" vertical="center"/>
    </xf>
    <xf numFmtId="167" fontId="5" fillId="6" borderId="2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Gráfico del Turno: Impacto por Código (Paradas vs Vacíos)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'Turno Mañana'!D4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'Turno Mañana'!$C$5:$C$8</f>
            </numRef>
          </cat>
          <val>
            <numRef>
              <f>'Turno Mañana'!$D$5:$D$8</f>
            </numRef>
          </val>
        </ser>
        <ser>
          <idx val="1"/>
          <order val="1"/>
          <tx>
            <strRef>
              <f>'Turno Mañana'!E4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'Turno Mañana'!$C$5:$C$8</f>
            </numRef>
          </cat>
          <val>
            <numRef>
              <f>'Turno Mañana'!$E$5:$E$8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Minutos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Motivo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Gráfico del Turno: Impacto por Código (Paradas vs Vacíos)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'Turno Tarde'!D4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'Turno Tarde'!$C$5:$C$8</f>
            </numRef>
          </cat>
          <val>
            <numRef>
              <f>'Turno Tarde'!$D$5:$D$8</f>
            </numRef>
          </val>
        </ser>
        <ser>
          <idx val="1"/>
          <order val="1"/>
          <tx>
            <strRef>
              <f>'Turno Tarde'!E4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'Turno Tarde'!$C$5:$C$8</f>
            </numRef>
          </cat>
          <val>
            <numRef>
              <f>'Turno Tarde'!$E$5:$E$8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Minutos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Motivo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Gráfico del Turno: Impacto por Código (Paradas vs Vacíos)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'Turno Noche'!D4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'Turno Noche'!$C$5:$C$8</f>
            </numRef>
          </cat>
          <val>
            <numRef>
              <f>'Turno Noche'!$D$5:$D$8</f>
            </numRef>
          </val>
        </ser>
        <ser>
          <idx val="1"/>
          <order val="1"/>
          <tx>
            <strRef>
              <f>'Turno Noche'!E4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'Turno Noche'!$C$5:$C$8</f>
            </numRef>
          </cat>
          <val>
            <numRef>
              <f>'Turno Noche'!$E$5:$E$8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Minutos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Motivo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Minutos Parada vs Vacío por Turno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 Diario'!C3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 Diario'!$A$4:$A$6</f>
            </numRef>
          </cat>
          <val>
            <numRef>
              <f>'Resumen Diario'!$C$4:$C$6</f>
            </numRef>
          </val>
        </ser>
        <ser>
          <idx val="1"/>
          <order val="1"/>
          <tx>
            <strRef>
              <f>'Resumen Diario'!D3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 Diario'!$A$4:$A$6</f>
            </numRef>
          </cat>
          <val>
            <numRef>
              <f>'Resumen Diario'!$D$4:$D$6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Turno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Minutos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Minutos Parada vs Vacío por Turno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 Diario'!C3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 Diario'!$A$4:$A$6</f>
            </numRef>
          </cat>
          <val>
            <numRef>
              <f>'Resumen Diario'!$C$4:$C$6</f>
            </numRef>
          </val>
        </ser>
        <ser>
          <idx val="1"/>
          <order val="1"/>
          <tx>
            <strRef>
              <f>'Resumen Diario'!D3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 Diario'!$A$4:$A$6</f>
            </numRef>
          </cat>
          <val>
            <numRef>
              <f>'Resumen Diario'!$D$4:$D$6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Turno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Minutos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5 Códigos con Mayor Impacto (Min)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'Informe Ejecutivo'!C16</f>
            </strRef>
          </tx>
          <spPr>
            <a:ln xmlns:a="http://schemas.openxmlformats.org/drawingml/2006/main">
              <a:prstDash val="solid"/>
            </a:ln>
          </spPr>
          <cat>
            <numRef>
              <f>'Informe Ejecutivo'!$B$17:$B$21</f>
            </numRef>
          </cat>
          <val>
            <numRef>
              <f>'Informe Ejecutivo'!$C$17:$C$21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Minutos Pérdida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Código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61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3</row>
      <rowOff>0</rowOff>
    </from>
    <ext cx="61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3</row>
      <rowOff>0</rowOff>
    </from>
    <ext cx="61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9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8</col>
      <colOff>0</colOff>
      <row>6</row>
      <rowOff>0</rowOff>
    </from>
    <ext cx="46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15</row>
      <rowOff>0</rowOff>
    </from>
    <ext cx="468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24" customWidth="1" min="3" max="3"/>
  </cols>
  <sheetData>
    <row r="1" ht="30" customHeight="1">
      <c r="A1" s="1" t="inlineStr">
        <is>
          <t>CATÁLOGO OFICIAL DE PARADAS Y VACÍOS</t>
        </is>
      </c>
    </row>
    <row r="2" ht="22" customHeight="1">
      <c r="A2" s="2" t="inlineStr">
        <is>
          <t>Código</t>
        </is>
      </c>
      <c r="B2" s="2" t="inlineStr">
        <is>
          <t>Motivo / Causa Frecuente</t>
        </is>
      </c>
      <c r="C2" s="2" t="inlineStr">
        <is>
          <t>Categoría Operativa</t>
        </is>
      </c>
    </row>
    <row r="3" ht="20" customHeight="1">
      <c r="A3" s="3" t="inlineStr">
        <is>
          <t>P-101</t>
        </is>
      </c>
      <c r="B3" s="4" t="inlineStr">
        <is>
          <t>Falla Mecánica General</t>
        </is>
      </c>
      <c r="C3" s="3" t="inlineStr">
        <is>
          <t>Mecánica</t>
        </is>
      </c>
    </row>
    <row r="4" ht="20" customHeight="1">
      <c r="A4" s="5" t="inlineStr">
        <is>
          <t>P-102</t>
        </is>
      </c>
      <c r="B4" s="6" t="inlineStr">
        <is>
          <t>Falla Hidráulica Prensa 1</t>
        </is>
      </c>
      <c r="C4" s="5" t="inlineStr">
        <is>
          <t>Prensas</t>
        </is>
      </c>
    </row>
    <row r="5" ht="20" customHeight="1">
      <c r="A5" s="3" t="inlineStr">
        <is>
          <t>P-103</t>
        </is>
      </c>
      <c r="B5" s="4" t="inlineStr">
        <is>
          <t>Falla Eléctrica / Sensores</t>
        </is>
      </c>
      <c r="C5" s="3" t="inlineStr">
        <is>
          <t>Electricidad</t>
        </is>
      </c>
    </row>
    <row r="6" ht="20" customHeight="1">
      <c r="A6" s="5" t="inlineStr">
        <is>
          <t>P-104</t>
        </is>
      </c>
      <c r="B6" s="6" t="inlineStr">
        <is>
          <t>Falta Barbotina / Alimentación</t>
        </is>
      </c>
      <c r="C6" s="5" t="inlineStr">
        <is>
          <t>Operativa</t>
        </is>
      </c>
    </row>
    <row r="7" ht="20" customHeight="1">
      <c r="A7" s="3" t="inlineStr">
        <is>
          <t>P-105</t>
        </is>
      </c>
      <c r="B7" s="4" t="inlineStr">
        <is>
          <t>Atasco Salida Prensa</t>
        </is>
      </c>
      <c r="C7" s="3" t="inlineStr">
        <is>
          <t>Prensas</t>
        </is>
      </c>
    </row>
    <row r="8" ht="20" customHeight="1">
      <c r="A8" s="5" t="inlineStr">
        <is>
          <t>P-201</t>
        </is>
      </c>
      <c r="B8" s="6" t="inlineStr">
        <is>
          <t>Cambio de Molde / Formato</t>
        </is>
      </c>
      <c r="C8" s="5" t="inlineStr">
        <is>
          <t>Programada</t>
        </is>
      </c>
    </row>
    <row r="9" ht="20" customHeight="1">
      <c r="A9" s="3" t="inlineStr">
        <is>
          <t>P-202</t>
        </is>
      </c>
      <c r="B9" s="4" t="inlineStr">
        <is>
          <t>Mantenimiento Preventivo</t>
        </is>
      </c>
      <c r="C9" s="3" t="inlineStr">
        <is>
          <t>Programada</t>
        </is>
      </c>
    </row>
    <row r="10" ht="20" customHeight="1">
      <c r="A10" s="5" t="inlineStr">
        <is>
          <t>P-203</t>
        </is>
      </c>
      <c r="B10" s="6" t="inlineStr">
        <is>
          <t>Limpieza de Punzones / Matrices</t>
        </is>
      </c>
      <c r="C10" s="5" t="inlineStr">
        <is>
          <t>Operativa</t>
        </is>
      </c>
    </row>
    <row r="11" ht="20" customHeight="1">
      <c r="A11" s="3" t="inlineStr">
        <is>
          <t>P-204</t>
        </is>
      </c>
      <c r="B11" s="4" t="inlineStr">
        <is>
          <t>Falla Eléctrica Distribución</t>
        </is>
      </c>
      <c r="C11" s="3" t="inlineStr">
        <is>
          <t>Electricidad</t>
        </is>
      </c>
    </row>
    <row r="12" ht="20" customHeight="1">
      <c r="A12" s="5" t="inlineStr">
        <is>
          <t>V-201</t>
        </is>
      </c>
      <c r="B12" s="6" t="inlineStr">
        <is>
          <t>Vacío Horno / Falta carga L-2</t>
        </is>
      </c>
      <c r="C12" s="5" t="inlineStr">
        <is>
          <t>Vacío Horno</t>
        </is>
      </c>
    </row>
    <row r="13" ht="20" customHeight="1">
      <c r="A13" s="3" t="inlineStr">
        <is>
          <t>V-301</t>
        </is>
      </c>
      <c r="B13" s="4" t="inlineStr">
        <is>
          <t>Vacío Horno - Regulación Térmica</t>
        </is>
      </c>
      <c r="C13" s="3" t="inlineStr">
        <is>
          <t>Vacío Horno</t>
        </is>
      </c>
    </row>
    <row r="14" ht="20" customHeight="1">
      <c r="A14" s="5" t="inlineStr">
        <is>
          <t>V-302</t>
        </is>
      </c>
      <c r="B14" s="6" t="inlineStr">
        <is>
          <t>Vacío Horno - Atasco Entrada Rodillos</t>
        </is>
      </c>
      <c r="C14" s="5" t="inlineStr">
        <is>
          <t>Vacío Horno</t>
        </is>
      </c>
    </row>
    <row r="15" ht="20" customHeight="1">
      <c r="A15" s="3" t="inlineStr">
        <is>
          <t>V-303</t>
        </is>
      </c>
      <c r="B15" s="4" t="inlineStr">
        <is>
          <t>Vacío Horno - Parada Línea Esmalte</t>
        </is>
      </c>
      <c r="C15" s="3" t="inlineStr">
        <is>
          <t>Vacío Horno</t>
        </is>
      </c>
    </row>
    <row r="16" ht="20" customHeight="1">
      <c r="A16" s="5" t="inlineStr">
        <is>
          <t>O-999</t>
        </is>
      </c>
      <c r="B16" s="6" t="inlineStr">
        <is>
          <t>Otros / Imprevisto General</t>
        </is>
      </c>
      <c r="C16" s="5" t="inlineStr">
        <is>
          <t>Otros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14" customWidth="1" min="4" max="4"/>
    <col width="14" customWidth="1" min="5" max="5"/>
    <col width="36" customWidth="1" min="6" max="6"/>
    <col width="3" customWidth="1" min="7" max="7"/>
  </cols>
  <sheetData>
    <row r="1" ht="32" customHeight="1">
      <c r="A1" s="1" t="inlineStr">
        <is>
          <t>VISTA 1: HOJA DE TURNO (TURNO MAÑANA - 06:00 a 14:00)</t>
        </is>
      </c>
    </row>
    <row r="3" ht="20" customHeight="1">
      <c r="A3" s="7" t="inlineStr">
        <is>
          <t>1. Registro de Paradas y Minutos de Vacíos</t>
        </is>
      </c>
    </row>
    <row r="4" ht="22" customHeight="1">
      <c r="A4" s="2" t="inlineStr">
        <is>
          <t>Hora</t>
        </is>
      </c>
      <c r="B4" s="2" t="inlineStr">
        <is>
          <t>Cód. Motivo</t>
        </is>
      </c>
      <c r="C4" s="2" t="inlineStr">
        <is>
          <t>Motivo Parada</t>
        </is>
      </c>
      <c r="D4" s="2" t="inlineStr">
        <is>
          <t>Min. Parada</t>
        </is>
      </c>
      <c r="E4" s="2" t="inlineStr">
        <is>
          <t>Min. Vacíos</t>
        </is>
      </c>
      <c r="F4" s="2" t="inlineStr">
        <is>
          <t>Observaciones</t>
        </is>
      </c>
    </row>
    <row r="5" ht="20" customHeight="1">
      <c r="A5" s="3" t="inlineStr">
        <is>
          <t>06:40</t>
        </is>
      </c>
      <c r="B5" s="3" t="inlineStr">
        <is>
          <t>P-102</t>
        </is>
      </c>
      <c r="C5" s="4">
        <f>IF(B5="","",IFERROR(VLOOKUP(B5,'Catálogo Códigos'!$A$3:$B$16,2,FALSE),"No Registrado"))</f>
        <v/>
      </c>
      <c r="D5" s="8" t="n">
        <v>45</v>
      </c>
      <c r="E5" s="8" t="n">
        <v>15</v>
      </c>
      <c r="F5" s="4" t="inlineStr">
        <is>
          <t>Cambio de electroválvula sector A</t>
        </is>
      </c>
    </row>
    <row r="6" ht="20" customHeight="1">
      <c r="A6" s="5" t="inlineStr">
        <is>
          <t>08:15</t>
        </is>
      </c>
      <c r="B6" s="5" t="inlineStr">
        <is>
          <t>V-201</t>
        </is>
      </c>
      <c r="C6" s="6">
        <f>IF(B6="","",IFERROR(VLOOKUP(B6,'Catálogo Códigos'!$A$3:$B$16,2,FALSE),"No Registrado"))</f>
        <v/>
      </c>
      <c r="D6" s="9" t="n">
        <v>0</v>
      </c>
      <c r="E6" s="9" t="n">
        <v>35</v>
      </c>
      <c r="F6" s="6" t="inlineStr">
        <is>
          <t>Retraso en transferencia línea 2</t>
        </is>
      </c>
    </row>
    <row r="7" ht="20" customHeight="1">
      <c r="A7" s="3" t="inlineStr">
        <is>
          <t>10:30</t>
        </is>
      </c>
      <c r="B7" s="3" t="inlineStr">
        <is>
          <t>P-105</t>
        </is>
      </c>
      <c r="C7" s="4">
        <f>IF(B7="","",IFERROR(VLOOKUP(B7,'Catálogo Códigos'!$A$3:$B$16,2,FALSE),"No Registrado"))</f>
        <v/>
      </c>
      <c r="D7" s="8" t="n">
        <v>20</v>
      </c>
      <c r="E7" s="8" t="n">
        <v>10</v>
      </c>
      <c r="F7" s="4" t="inlineStr">
        <is>
          <t>Limpieza de matriz y sensores</t>
        </is>
      </c>
    </row>
    <row r="8" ht="20" customHeight="1">
      <c r="A8" s="5" t="inlineStr">
        <is>
          <t>12:00</t>
        </is>
      </c>
      <c r="B8" s="5" t="inlineStr">
        <is>
          <t>P-301</t>
        </is>
      </c>
      <c r="C8" s="6">
        <f>IF(B8="","",IFERROR(VLOOKUP(B8,'Catálogo Códigos'!$A$3:$B$16,2,FALSE),"No Registrado"))</f>
        <v/>
      </c>
      <c r="D8" s="9" t="n">
        <v>30</v>
      </c>
      <c r="E8" s="9" t="n">
        <v>5</v>
      </c>
      <c r="F8" s="6" t="inlineStr">
        <is>
          <t>Ajuste de espesor según programa</t>
        </is>
      </c>
    </row>
    <row r="9" ht="20" customHeight="1">
      <c r="A9" s="3" t="inlineStr"/>
      <c r="B9" s="3" t="inlineStr"/>
      <c r="C9" s="4">
        <f>IF(B9="","",IFERROR(VLOOKUP(B9,'Catálogo Códigos'!$A$3:$B$16,2,FALSE),"No Registrado"))</f>
        <v/>
      </c>
      <c r="D9" s="8" t="inlineStr"/>
      <c r="E9" s="8" t="inlineStr"/>
      <c r="F9" s="4" t="inlineStr"/>
    </row>
    <row r="10" ht="20" customHeight="1">
      <c r="A10" s="5" t="inlineStr"/>
      <c r="B10" s="5" t="inlineStr"/>
      <c r="C10" s="6">
        <f>IF(B10="","",IFERROR(VLOOKUP(B10,'Catálogo Códigos'!$A$3:$B$16,2,FALSE),"No Registrado"))</f>
        <v/>
      </c>
      <c r="D10" s="9" t="inlineStr"/>
      <c r="E10" s="9" t="inlineStr"/>
      <c r="F10" s="6" t="inlineStr"/>
    </row>
    <row r="11" ht="20" customHeight="1">
      <c r="A11" s="3" t="inlineStr"/>
      <c r="B11" s="3" t="inlineStr"/>
      <c r="C11" s="4">
        <f>IF(B11="","",IFERROR(VLOOKUP(B11,'Catálogo Códigos'!$A$3:$B$16,2,FALSE),"No Registrado"))</f>
        <v/>
      </c>
      <c r="D11" s="8" t="inlineStr"/>
      <c r="E11" s="8" t="inlineStr"/>
      <c r="F11" s="4" t="inlineStr"/>
    </row>
    <row r="12" ht="20" customHeight="1">
      <c r="A12" s="5" t="inlineStr"/>
      <c r="B12" s="5" t="inlineStr"/>
      <c r="C12" s="6">
        <f>IF(B12="","",IFERROR(VLOOKUP(B12,'Catálogo Códigos'!$A$3:$B$16,2,FALSE),"No Registrado"))</f>
        <v/>
      </c>
      <c r="D12" s="9" t="inlineStr"/>
      <c r="E12" s="9" t="inlineStr"/>
      <c r="F12" s="6" t="inlineStr"/>
    </row>
    <row r="13" ht="20" customHeight="1">
      <c r="A13" s="3" t="inlineStr"/>
      <c r="B13" s="3" t="inlineStr"/>
      <c r="C13" s="4">
        <f>IF(B13="","",IFERROR(VLOOKUP(B13,'Catálogo Códigos'!$A$3:$B$16,2,FALSE),"No Registrado"))</f>
        <v/>
      </c>
      <c r="D13" s="8" t="inlineStr"/>
      <c r="E13" s="8" t="inlineStr"/>
      <c r="F13" s="4" t="inlineStr"/>
    </row>
    <row r="14" ht="20" customHeight="1">
      <c r="A14" s="5" t="inlineStr"/>
      <c r="B14" s="5" t="inlineStr"/>
      <c r="C14" s="6">
        <f>IF(B14="","",IFERROR(VLOOKUP(B14,'Catálogo Códigos'!$A$3:$B$16,2,FALSE),"No Registrado"))</f>
        <v/>
      </c>
      <c r="D14" s="9" t="inlineStr"/>
      <c r="E14" s="9" t="inlineStr"/>
      <c r="F14" s="6" t="inlineStr"/>
    </row>
    <row r="15" ht="20" customHeight="1">
      <c r="A15" s="3" t="inlineStr"/>
      <c r="B15" s="3" t="inlineStr"/>
      <c r="C15" s="4">
        <f>IF(B15="","",IFERROR(VLOOKUP(B15,'Catálogo Códigos'!$A$3:$B$16,2,FALSE),"No Registrado"))</f>
        <v/>
      </c>
      <c r="D15" s="8" t="inlineStr"/>
      <c r="E15" s="8" t="inlineStr"/>
      <c r="F15" s="4" t="inlineStr"/>
    </row>
    <row r="16" ht="20" customHeight="1">
      <c r="A16" s="5" t="inlineStr"/>
      <c r="B16" s="5" t="inlineStr"/>
      <c r="C16" s="6">
        <f>IF(B16="","",IFERROR(VLOOKUP(B16,'Catálogo Códigos'!$A$3:$B$16,2,FALSE),"No Registrado"))</f>
        <v/>
      </c>
      <c r="D16" s="9" t="inlineStr"/>
      <c r="E16" s="9" t="inlineStr"/>
      <c r="F16" s="6" t="inlineStr"/>
    </row>
    <row r="17" ht="24" customHeight="1">
      <c r="A17" s="10" t="inlineStr">
        <is>
          <t>TOTALES DE PARADAS Y VACÍOS DEL TURNO</t>
        </is>
      </c>
      <c r="B17" s="11" t="n"/>
      <c r="C17" s="11" t="n"/>
      <c r="D17" s="12">
        <f>SUM(D5:D16)</f>
        <v/>
      </c>
      <c r="E17" s="12">
        <f>SUM(E5:E16)</f>
        <v/>
      </c>
      <c r="F17" s="10">
        <f>"Pérdida Total: " &amp; TEXT(D17+E17,"#,##0") &amp; " min"</f>
        <v/>
      </c>
    </row>
    <row r="20" ht="20" customHeight="1">
      <c r="A20" s="13" t="inlineStr">
        <is>
          <t>2. Registro de Acciones Correctivas &amp; Mejoras de Calidad</t>
        </is>
      </c>
    </row>
    <row r="21" ht="22" customHeight="1">
      <c r="A21" s="14" t="inlineStr">
        <is>
          <t>Hora</t>
        </is>
      </c>
      <c r="B21" s="14" t="inlineStr">
        <is>
          <t>Problema / Defecto</t>
        </is>
      </c>
      <c r="C21" s="14" t="inlineStr">
        <is>
          <t>Causa Raíz</t>
        </is>
      </c>
      <c r="D21" s="14" t="inlineStr">
        <is>
          <t>Acción Inmediata / Preventiva</t>
        </is>
      </c>
      <c r="E21" s="14" t="inlineStr">
        <is>
          <t>Responsable / Estado</t>
        </is>
      </c>
      <c r="F21" s="14" t="inlineStr">
        <is>
          <t>Seguimiento</t>
        </is>
      </c>
    </row>
    <row r="22" ht="20" customHeight="1">
      <c r="A22" s="15" t="inlineStr">
        <is>
          <t>07:10</t>
        </is>
      </c>
      <c r="B22" s="16" t="inlineStr">
        <is>
          <t>Descalibre en espesor salida</t>
        </is>
      </c>
      <c r="C22" s="16" t="inlineStr">
        <is>
          <t>Desgaste placa guía</t>
        </is>
      </c>
      <c r="D22" s="16" t="inlineStr">
        <is>
          <t>Ajuste de cota y cambio de placa</t>
        </is>
      </c>
      <c r="E22" s="17" t="inlineStr">
        <is>
          <t>Mantenimiento [CERRADO]</t>
        </is>
      </c>
      <c r="F22" s="16" t="inlineStr"/>
    </row>
    <row r="23" ht="20" customHeight="1">
      <c r="A23" s="15" t="inlineStr">
        <is>
          <t>09:40</t>
        </is>
      </c>
      <c r="B23" s="16" t="inlineStr">
        <is>
          <t>Defecto de curvatura / planitud</t>
        </is>
      </c>
      <c r="C23" s="16" t="inlineStr">
        <is>
          <t>Gradiente térmico horno</t>
        </is>
      </c>
      <c r="D23" s="16" t="inlineStr">
        <is>
          <t>Rebalanceo de quemadores rampa 1</t>
        </is>
      </c>
      <c r="E23" s="15" t="inlineStr">
        <is>
          <t>Operador / Calidad [OK]</t>
        </is>
      </c>
      <c r="F23" s="16" t="inlineStr"/>
    </row>
    <row r="24" ht="20" customHeight="1">
      <c r="A24" s="15" t="inlineStr">
        <is>
          <t>11:20</t>
        </is>
      </c>
      <c r="B24" s="16" t="inlineStr">
        <is>
          <t>Burbujas en prensado</t>
        </is>
      </c>
      <c r="C24" s="16" t="inlineStr">
        <is>
          <t>Humedad alta en tolva</t>
        </is>
      </c>
      <c r="D24" s="16" t="inlineStr">
        <is>
          <t>Purgado y ajuste de presión hidráulica</t>
        </is>
      </c>
      <c r="E24" s="15" t="inlineStr">
        <is>
          <t>En Proceso</t>
        </is>
      </c>
      <c r="F24" s="16" t="inlineStr"/>
    </row>
    <row r="25" ht="20" customHeight="1">
      <c r="A25" s="3" t="inlineStr"/>
      <c r="B25" s="4" t="inlineStr"/>
      <c r="C25" s="4" t="inlineStr"/>
      <c r="D25" s="4" t="inlineStr"/>
      <c r="E25" s="3" t="inlineStr"/>
      <c r="F25" s="4" t="inlineStr"/>
    </row>
    <row r="26" ht="20" customHeight="1">
      <c r="A26" s="5" t="inlineStr"/>
      <c r="B26" s="6" t="inlineStr"/>
      <c r="C26" s="6" t="inlineStr"/>
      <c r="D26" s="6" t="inlineStr"/>
      <c r="E26" s="5" t="inlineStr"/>
      <c r="F26" s="6" t="inlineStr"/>
    </row>
    <row r="27" ht="20" customHeight="1">
      <c r="A27" s="3" t="inlineStr"/>
      <c r="B27" s="4" t="inlineStr"/>
      <c r="C27" s="4" t="inlineStr"/>
      <c r="D27" s="4" t="inlineStr"/>
      <c r="E27" s="3" t="inlineStr"/>
      <c r="F27" s="4" t="inlineStr"/>
    </row>
    <row r="29" ht="28" customHeight="1">
      <c r="A29" s="18">
        <f>"TOTALES TURNO: " &amp; TEXT(D17,"#,##0") &amp; " Minutos de Parada | " &amp; TEXT(E17,"#,##0") &amp; " Minutos de Vacío | Eficiencia Neta: " &amp; TEXT((480-(D17+E17))/480,"0.0%")</f>
        <v/>
      </c>
    </row>
  </sheetData>
  <mergeCells count="5">
    <mergeCell ref="A1:F1"/>
    <mergeCell ref="A17:C17"/>
    <mergeCell ref="A3:F3"/>
    <mergeCell ref="A20:F20"/>
    <mergeCell ref="A29:F29"/>
  </mergeCells>
  <dataValidations count="1">
    <dataValidation sqref="B5:B16" showDropDown="0" showInputMessage="0" showErrorMessage="0" allowBlank="1" type="list">
      <formula1>='Catálogo Códigos'!$A$3:$A$16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14" customWidth="1" min="4" max="4"/>
    <col width="14" customWidth="1" min="5" max="5"/>
    <col width="36" customWidth="1" min="6" max="6"/>
    <col width="3" customWidth="1" min="7" max="7"/>
  </cols>
  <sheetData>
    <row r="1" ht="32" customHeight="1">
      <c r="A1" s="1" t="inlineStr">
        <is>
          <t>VISTA 1: HOJA DE TURNO (TURNO TARDE - 14:00 a 22:00)</t>
        </is>
      </c>
    </row>
    <row r="3" ht="20" customHeight="1">
      <c r="A3" s="7" t="inlineStr">
        <is>
          <t>1. Registro de Paradas y Minutos de Vacíos</t>
        </is>
      </c>
    </row>
    <row r="4" ht="22" customHeight="1">
      <c r="A4" s="2" t="inlineStr">
        <is>
          <t>Hora</t>
        </is>
      </c>
      <c r="B4" s="2" t="inlineStr">
        <is>
          <t>Cód. Motivo</t>
        </is>
      </c>
      <c r="C4" s="2" t="inlineStr">
        <is>
          <t>Motivo Parada</t>
        </is>
      </c>
      <c r="D4" s="2" t="inlineStr">
        <is>
          <t>Min. Parada</t>
        </is>
      </c>
      <c r="E4" s="2" t="inlineStr">
        <is>
          <t>Min. Vacíos</t>
        </is>
      </c>
      <c r="F4" s="2" t="inlineStr">
        <is>
          <t>Observaciones</t>
        </is>
      </c>
    </row>
    <row r="5" ht="20" customHeight="1">
      <c r="A5" s="3" t="inlineStr">
        <is>
          <t>15:10</t>
        </is>
      </c>
      <c r="B5" s="3" t="inlineStr">
        <is>
          <t>P-102</t>
        </is>
      </c>
      <c r="C5" s="4">
        <f>IF(B5="","",IFERROR(VLOOKUP(B5,'Catálogo Códigos'!$A$3:$B$16,2,FALSE),"No Registrado"))</f>
        <v/>
      </c>
      <c r="D5" s="8" t="n">
        <v>20</v>
      </c>
      <c r="E5" s="8" t="n">
        <v>10</v>
      </c>
      <c r="F5" s="4" t="inlineStr">
        <is>
          <t>Falla en válvula de prellenado</t>
        </is>
      </c>
    </row>
    <row r="6" ht="20" customHeight="1">
      <c r="A6" s="5" t="inlineStr">
        <is>
          <t>17:40</t>
        </is>
      </c>
      <c r="B6" s="5" t="inlineStr">
        <is>
          <t>V-201</t>
        </is>
      </c>
      <c r="C6" s="6">
        <f>IF(B6="","",IFERROR(VLOOKUP(B6,'Catálogo Códigos'!$A$3:$B$16,2,FALSE),"No Registrado"))</f>
        <v/>
      </c>
      <c r="D6" s="9" t="n">
        <v>0</v>
      </c>
      <c r="E6" s="9" t="n">
        <v>15</v>
      </c>
      <c r="F6" s="6" t="inlineStr">
        <is>
          <t>Espera de vagoneta</t>
        </is>
      </c>
    </row>
    <row r="7" ht="20" customHeight="1">
      <c r="A7" s="3" t="inlineStr">
        <is>
          <t>20:00</t>
        </is>
      </c>
      <c r="B7" s="3" t="inlineStr">
        <is>
          <t>P-105</t>
        </is>
      </c>
      <c r="C7" s="4">
        <f>IF(B7="","",IFERROR(VLOOKUP(B7,'Catálogo Códigos'!$A$3:$B$16,2,FALSE),"No Registrado"))</f>
        <v/>
      </c>
      <c r="D7" s="8" t="n">
        <v>30</v>
      </c>
      <c r="E7" s="8" t="n">
        <v>5</v>
      </c>
      <c r="F7" s="4" t="inlineStr">
        <is>
          <t>Desalineación de rodillos de salida</t>
        </is>
      </c>
    </row>
    <row r="8" ht="20" customHeight="1">
      <c r="A8" s="5" t="inlineStr"/>
      <c r="B8" s="5" t="inlineStr"/>
      <c r="C8" s="6">
        <f>IF(B8="","",IFERROR(VLOOKUP(B8,'Catálogo Códigos'!$A$3:$B$16,2,FALSE),"No Registrado"))</f>
        <v/>
      </c>
      <c r="D8" s="9" t="inlineStr"/>
      <c r="E8" s="9" t="inlineStr"/>
      <c r="F8" s="6" t="inlineStr"/>
    </row>
    <row r="9" ht="20" customHeight="1">
      <c r="A9" s="3" t="inlineStr"/>
      <c r="B9" s="3" t="inlineStr"/>
      <c r="C9" s="4">
        <f>IF(B9="","",IFERROR(VLOOKUP(B9,'Catálogo Códigos'!$A$3:$B$16,2,FALSE),"No Registrado"))</f>
        <v/>
      </c>
      <c r="D9" s="8" t="inlineStr"/>
      <c r="E9" s="8" t="inlineStr"/>
      <c r="F9" s="4" t="inlineStr"/>
    </row>
    <row r="10" ht="20" customHeight="1">
      <c r="A10" s="5" t="inlineStr"/>
      <c r="B10" s="5" t="inlineStr"/>
      <c r="C10" s="6">
        <f>IF(B10="","",IFERROR(VLOOKUP(B10,'Catálogo Códigos'!$A$3:$B$16,2,FALSE),"No Registrado"))</f>
        <v/>
      </c>
      <c r="D10" s="9" t="inlineStr"/>
      <c r="E10" s="9" t="inlineStr"/>
      <c r="F10" s="6" t="inlineStr"/>
    </row>
    <row r="11" ht="20" customHeight="1">
      <c r="A11" s="3" t="inlineStr"/>
      <c r="B11" s="3" t="inlineStr"/>
      <c r="C11" s="4">
        <f>IF(B11="","",IFERROR(VLOOKUP(B11,'Catálogo Códigos'!$A$3:$B$16,2,FALSE),"No Registrado"))</f>
        <v/>
      </c>
      <c r="D11" s="8" t="inlineStr"/>
      <c r="E11" s="8" t="inlineStr"/>
      <c r="F11" s="4" t="inlineStr"/>
    </row>
    <row r="12" ht="20" customHeight="1">
      <c r="A12" s="5" t="inlineStr"/>
      <c r="B12" s="5" t="inlineStr"/>
      <c r="C12" s="6">
        <f>IF(B12="","",IFERROR(VLOOKUP(B12,'Catálogo Códigos'!$A$3:$B$16,2,FALSE),"No Registrado"))</f>
        <v/>
      </c>
      <c r="D12" s="9" t="inlineStr"/>
      <c r="E12" s="9" t="inlineStr"/>
      <c r="F12" s="6" t="inlineStr"/>
    </row>
    <row r="13" ht="20" customHeight="1">
      <c r="A13" s="3" t="inlineStr"/>
      <c r="B13" s="3" t="inlineStr"/>
      <c r="C13" s="4">
        <f>IF(B13="","",IFERROR(VLOOKUP(B13,'Catálogo Códigos'!$A$3:$B$16,2,FALSE),"No Registrado"))</f>
        <v/>
      </c>
      <c r="D13" s="8" t="inlineStr"/>
      <c r="E13" s="8" t="inlineStr"/>
      <c r="F13" s="4" t="inlineStr"/>
    </row>
    <row r="14" ht="20" customHeight="1">
      <c r="A14" s="5" t="inlineStr"/>
      <c r="B14" s="5" t="inlineStr"/>
      <c r="C14" s="6">
        <f>IF(B14="","",IFERROR(VLOOKUP(B14,'Catálogo Códigos'!$A$3:$B$16,2,FALSE),"No Registrado"))</f>
        <v/>
      </c>
      <c r="D14" s="9" t="inlineStr"/>
      <c r="E14" s="9" t="inlineStr"/>
      <c r="F14" s="6" t="inlineStr"/>
    </row>
    <row r="15" ht="20" customHeight="1">
      <c r="A15" s="3" t="inlineStr"/>
      <c r="B15" s="3" t="inlineStr"/>
      <c r="C15" s="4">
        <f>IF(B15="","",IFERROR(VLOOKUP(B15,'Catálogo Códigos'!$A$3:$B$16,2,FALSE),"No Registrado"))</f>
        <v/>
      </c>
      <c r="D15" s="8" t="inlineStr"/>
      <c r="E15" s="8" t="inlineStr"/>
      <c r="F15" s="4" t="inlineStr"/>
    </row>
    <row r="16" ht="20" customHeight="1">
      <c r="A16" s="5" t="inlineStr"/>
      <c r="B16" s="5" t="inlineStr"/>
      <c r="C16" s="6">
        <f>IF(B16="","",IFERROR(VLOOKUP(B16,'Catálogo Códigos'!$A$3:$B$16,2,FALSE),"No Registrado"))</f>
        <v/>
      </c>
      <c r="D16" s="9" t="inlineStr"/>
      <c r="E16" s="9" t="inlineStr"/>
      <c r="F16" s="6" t="inlineStr"/>
    </row>
    <row r="17" ht="24" customHeight="1">
      <c r="A17" s="10" t="inlineStr">
        <is>
          <t>TOTALES DE PARADAS Y VACÍOS DEL TURNO</t>
        </is>
      </c>
      <c r="B17" s="11" t="n"/>
      <c r="C17" s="11" t="n"/>
      <c r="D17" s="12">
        <f>SUM(D5:D16)</f>
        <v/>
      </c>
      <c r="E17" s="12">
        <f>SUM(E5:E16)</f>
        <v/>
      </c>
      <c r="F17" s="10">
        <f>"Pérdida Total: " &amp; TEXT(D17+E17,"#,##0") &amp; " min"</f>
        <v/>
      </c>
    </row>
    <row r="20" ht="20" customHeight="1">
      <c r="A20" s="13" t="inlineStr">
        <is>
          <t>2. Registro de Acciones Correctivas &amp; Mejoras de Calidad</t>
        </is>
      </c>
    </row>
    <row r="21" ht="22" customHeight="1">
      <c r="A21" s="14" t="inlineStr">
        <is>
          <t>Hora</t>
        </is>
      </c>
      <c r="B21" s="14" t="inlineStr">
        <is>
          <t>Problema / Defecto</t>
        </is>
      </c>
      <c r="C21" s="14" t="inlineStr">
        <is>
          <t>Causa Raíz</t>
        </is>
      </c>
      <c r="D21" s="14" t="inlineStr">
        <is>
          <t>Acción Inmediata / Preventiva</t>
        </is>
      </c>
      <c r="E21" s="14" t="inlineStr">
        <is>
          <t>Responsable / Estado</t>
        </is>
      </c>
      <c r="F21" s="14" t="inlineStr">
        <is>
          <t>Seguimiento</t>
        </is>
      </c>
    </row>
    <row r="22" ht="20" customHeight="1">
      <c r="A22" s="15" t="inlineStr">
        <is>
          <t>16:00</t>
        </is>
      </c>
      <c r="B22" s="16" t="inlineStr">
        <is>
          <t>Descuadre continuo</t>
        </is>
      </c>
      <c r="C22" s="16" t="inlineStr">
        <is>
          <t>Guía floja</t>
        </is>
      </c>
      <c r="D22" s="16" t="inlineStr">
        <is>
          <t>Fijación y apriete de bancada</t>
        </is>
      </c>
      <c r="E22" s="17" t="inlineStr">
        <is>
          <t>Mantenimiento [CERRADO]</t>
        </is>
      </c>
      <c r="F22" s="16" t="inlineStr"/>
    </row>
    <row r="23" ht="20" customHeight="1">
      <c r="A23" s="3" t="inlineStr"/>
      <c r="B23" s="4" t="inlineStr"/>
      <c r="C23" s="4" t="inlineStr"/>
      <c r="D23" s="4" t="inlineStr"/>
      <c r="E23" s="3" t="inlineStr"/>
      <c r="F23" s="4" t="inlineStr"/>
    </row>
    <row r="24" ht="20" customHeight="1">
      <c r="A24" s="5" t="inlineStr"/>
      <c r="B24" s="6" t="inlineStr"/>
      <c r="C24" s="6" t="inlineStr"/>
      <c r="D24" s="6" t="inlineStr"/>
      <c r="E24" s="5" t="inlineStr"/>
      <c r="F24" s="6" t="inlineStr"/>
    </row>
    <row r="25" ht="20" customHeight="1">
      <c r="A25" s="3" t="inlineStr"/>
      <c r="B25" s="4" t="inlineStr"/>
      <c r="C25" s="4" t="inlineStr"/>
      <c r="D25" s="4" t="inlineStr"/>
      <c r="E25" s="3" t="inlineStr"/>
      <c r="F25" s="4" t="inlineStr"/>
    </row>
    <row r="26" ht="20" customHeight="1">
      <c r="A26" s="5" t="inlineStr"/>
      <c r="B26" s="6" t="inlineStr"/>
      <c r="C26" s="6" t="inlineStr"/>
      <c r="D26" s="6" t="inlineStr"/>
      <c r="E26" s="5" t="inlineStr"/>
      <c r="F26" s="6" t="inlineStr"/>
    </row>
    <row r="27" ht="20" customHeight="1">
      <c r="A27" s="3" t="inlineStr"/>
      <c r="B27" s="4" t="inlineStr"/>
      <c r="C27" s="4" t="inlineStr"/>
      <c r="D27" s="4" t="inlineStr"/>
      <c r="E27" s="3" t="inlineStr"/>
      <c r="F27" s="4" t="inlineStr"/>
    </row>
    <row r="29" ht="28" customHeight="1">
      <c r="A29" s="18">
        <f>"TOTALES TURNO: " &amp; TEXT(D17,"#,##0") &amp; " Minutos de Parada | " &amp; TEXT(E17,"#,##0") &amp; " Minutos de Vacío | Eficiencia Neta: " &amp; TEXT((480-(D17+E17))/480,"0.0%")</f>
        <v/>
      </c>
    </row>
  </sheetData>
  <mergeCells count="5">
    <mergeCell ref="A1:F1"/>
    <mergeCell ref="A17:C17"/>
    <mergeCell ref="A3:F3"/>
    <mergeCell ref="A20:F20"/>
    <mergeCell ref="A29:F29"/>
  </mergeCells>
  <dataValidations count="1">
    <dataValidation sqref="B5:B16" showDropDown="0" showInputMessage="0" showErrorMessage="0" allowBlank="1" type="list">
      <formula1>='Catálogo Códigos'!$A$3:$A$16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14" customWidth="1" min="4" max="4"/>
    <col width="14" customWidth="1" min="5" max="5"/>
    <col width="36" customWidth="1" min="6" max="6"/>
    <col width="3" customWidth="1" min="7" max="7"/>
  </cols>
  <sheetData>
    <row r="1" ht="32" customHeight="1">
      <c r="A1" s="1" t="inlineStr">
        <is>
          <t>VISTA 1: HOJA DE TURNO (TURNO NOCHE - 22:00 a 06:00)</t>
        </is>
      </c>
    </row>
    <row r="3" ht="20" customHeight="1">
      <c r="A3" s="7" t="inlineStr">
        <is>
          <t>1. Registro de Paradas y Minutos de Vacíos</t>
        </is>
      </c>
    </row>
    <row r="4" ht="22" customHeight="1">
      <c r="A4" s="2" t="inlineStr">
        <is>
          <t>Hora</t>
        </is>
      </c>
      <c r="B4" s="2" t="inlineStr">
        <is>
          <t>Cód. Motivo</t>
        </is>
      </c>
      <c r="C4" s="2" t="inlineStr">
        <is>
          <t>Motivo Parada</t>
        </is>
      </c>
      <c r="D4" s="2" t="inlineStr">
        <is>
          <t>Min. Parada</t>
        </is>
      </c>
      <c r="E4" s="2" t="inlineStr">
        <is>
          <t>Min. Vacíos</t>
        </is>
      </c>
      <c r="F4" s="2" t="inlineStr">
        <is>
          <t>Observaciones</t>
        </is>
      </c>
    </row>
    <row r="5" ht="20" customHeight="1">
      <c r="A5" s="3" t="inlineStr">
        <is>
          <t>01:20</t>
        </is>
      </c>
      <c r="B5" s="3" t="inlineStr">
        <is>
          <t>P-204</t>
        </is>
      </c>
      <c r="C5" s="4">
        <f>IF(B5="","",IFERROR(VLOOKUP(B5,'Catálogo Códigos'!$A$3:$B$16,2,FALSE),"No Registrado"))</f>
        <v/>
      </c>
      <c r="D5" s="8" t="n">
        <v>20</v>
      </c>
      <c r="E5" s="8" t="n">
        <v>0</v>
      </c>
      <c r="F5" s="4" t="inlineStr">
        <is>
          <t>Disparo térmico en bomba principal</t>
        </is>
      </c>
    </row>
    <row r="6" ht="20" customHeight="1">
      <c r="A6" s="5" t="inlineStr">
        <is>
          <t>04:00</t>
        </is>
      </c>
      <c r="B6" s="5" t="inlineStr">
        <is>
          <t>P-301</t>
        </is>
      </c>
      <c r="C6" s="6">
        <f>IF(B6="","",IFERROR(VLOOKUP(B6,'Catálogo Códigos'!$A$3:$B$16,2,FALSE),"No Registrado"))</f>
        <v/>
      </c>
      <c r="D6" s="9" t="n">
        <v>20</v>
      </c>
      <c r="E6" s="9" t="n">
        <v>15</v>
      </c>
      <c r="F6" s="6" t="inlineStr">
        <is>
          <t>Regulación de molde cerámico</t>
        </is>
      </c>
    </row>
    <row r="7" ht="20" customHeight="1">
      <c r="A7" s="3" t="inlineStr"/>
      <c r="B7" s="3" t="inlineStr"/>
      <c r="C7" s="4">
        <f>IF(B7="","",IFERROR(VLOOKUP(B7,'Catálogo Códigos'!$A$3:$B$16,2,FALSE),"No Registrado"))</f>
        <v/>
      </c>
      <c r="D7" s="8" t="inlineStr"/>
      <c r="E7" s="8" t="inlineStr"/>
      <c r="F7" s="4" t="inlineStr"/>
    </row>
    <row r="8" ht="20" customHeight="1">
      <c r="A8" s="5" t="inlineStr"/>
      <c r="B8" s="5" t="inlineStr"/>
      <c r="C8" s="6">
        <f>IF(B8="","",IFERROR(VLOOKUP(B8,'Catálogo Códigos'!$A$3:$B$16,2,FALSE),"No Registrado"))</f>
        <v/>
      </c>
      <c r="D8" s="9" t="inlineStr"/>
      <c r="E8" s="9" t="inlineStr"/>
      <c r="F8" s="6" t="inlineStr"/>
    </row>
    <row r="9" ht="20" customHeight="1">
      <c r="A9" s="3" t="inlineStr"/>
      <c r="B9" s="3" t="inlineStr"/>
      <c r="C9" s="4">
        <f>IF(B9="","",IFERROR(VLOOKUP(B9,'Catálogo Códigos'!$A$3:$B$16,2,FALSE),"No Registrado"))</f>
        <v/>
      </c>
      <c r="D9" s="8" t="inlineStr"/>
      <c r="E9" s="8" t="inlineStr"/>
      <c r="F9" s="4" t="inlineStr"/>
    </row>
    <row r="10" ht="20" customHeight="1">
      <c r="A10" s="5" t="inlineStr"/>
      <c r="B10" s="5" t="inlineStr"/>
      <c r="C10" s="6">
        <f>IF(B10="","",IFERROR(VLOOKUP(B10,'Catálogo Códigos'!$A$3:$B$16,2,FALSE),"No Registrado"))</f>
        <v/>
      </c>
      <c r="D10" s="9" t="inlineStr"/>
      <c r="E10" s="9" t="inlineStr"/>
      <c r="F10" s="6" t="inlineStr"/>
    </row>
    <row r="11" ht="20" customHeight="1">
      <c r="A11" s="3" t="inlineStr"/>
      <c r="B11" s="3" t="inlineStr"/>
      <c r="C11" s="4">
        <f>IF(B11="","",IFERROR(VLOOKUP(B11,'Catálogo Códigos'!$A$3:$B$16,2,FALSE),"No Registrado"))</f>
        <v/>
      </c>
      <c r="D11" s="8" t="inlineStr"/>
      <c r="E11" s="8" t="inlineStr"/>
      <c r="F11" s="4" t="inlineStr"/>
    </row>
    <row r="12" ht="20" customHeight="1">
      <c r="A12" s="5" t="inlineStr"/>
      <c r="B12" s="5" t="inlineStr"/>
      <c r="C12" s="6">
        <f>IF(B12="","",IFERROR(VLOOKUP(B12,'Catálogo Códigos'!$A$3:$B$16,2,FALSE),"No Registrado"))</f>
        <v/>
      </c>
      <c r="D12" s="9" t="inlineStr"/>
      <c r="E12" s="9" t="inlineStr"/>
      <c r="F12" s="6" t="inlineStr"/>
    </row>
    <row r="13" ht="20" customHeight="1">
      <c r="A13" s="3" t="inlineStr"/>
      <c r="B13" s="3" t="inlineStr"/>
      <c r="C13" s="4">
        <f>IF(B13="","",IFERROR(VLOOKUP(B13,'Catálogo Códigos'!$A$3:$B$16,2,FALSE),"No Registrado"))</f>
        <v/>
      </c>
      <c r="D13" s="8" t="inlineStr"/>
      <c r="E13" s="8" t="inlineStr"/>
      <c r="F13" s="4" t="inlineStr"/>
    </row>
    <row r="14" ht="20" customHeight="1">
      <c r="A14" s="5" t="inlineStr"/>
      <c r="B14" s="5" t="inlineStr"/>
      <c r="C14" s="6">
        <f>IF(B14="","",IFERROR(VLOOKUP(B14,'Catálogo Códigos'!$A$3:$B$16,2,FALSE),"No Registrado"))</f>
        <v/>
      </c>
      <c r="D14" s="9" t="inlineStr"/>
      <c r="E14" s="9" t="inlineStr"/>
      <c r="F14" s="6" t="inlineStr"/>
    </row>
    <row r="15" ht="20" customHeight="1">
      <c r="A15" s="3" t="inlineStr"/>
      <c r="B15" s="3" t="inlineStr"/>
      <c r="C15" s="4">
        <f>IF(B15="","",IFERROR(VLOOKUP(B15,'Catálogo Códigos'!$A$3:$B$16,2,FALSE),"No Registrado"))</f>
        <v/>
      </c>
      <c r="D15" s="8" t="inlineStr"/>
      <c r="E15" s="8" t="inlineStr"/>
      <c r="F15" s="4" t="inlineStr"/>
    </row>
    <row r="16" ht="20" customHeight="1">
      <c r="A16" s="5" t="inlineStr"/>
      <c r="B16" s="5" t="inlineStr"/>
      <c r="C16" s="6">
        <f>IF(B16="","",IFERROR(VLOOKUP(B16,'Catálogo Códigos'!$A$3:$B$16,2,FALSE),"No Registrado"))</f>
        <v/>
      </c>
      <c r="D16" s="9" t="inlineStr"/>
      <c r="E16" s="9" t="inlineStr"/>
      <c r="F16" s="6" t="inlineStr"/>
    </row>
    <row r="17" ht="24" customHeight="1">
      <c r="A17" s="10" t="inlineStr">
        <is>
          <t>TOTALES DE PARADAS Y VACÍOS DEL TURNO</t>
        </is>
      </c>
      <c r="B17" s="11" t="n"/>
      <c r="C17" s="11" t="n"/>
      <c r="D17" s="12">
        <f>SUM(D5:D16)</f>
        <v/>
      </c>
      <c r="E17" s="12">
        <f>SUM(E5:E16)</f>
        <v/>
      </c>
      <c r="F17" s="10">
        <f>"Pérdida Total: " &amp; TEXT(D17+E17,"#,##0") &amp; " min"</f>
        <v/>
      </c>
    </row>
    <row r="20" ht="20" customHeight="1">
      <c r="A20" s="13" t="inlineStr">
        <is>
          <t>2. Registro de Acciones Correctivas &amp; Mejoras de Calidad</t>
        </is>
      </c>
    </row>
    <row r="21" ht="22" customHeight="1">
      <c r="A21" s="14" t="inlineStr">
        <is>
          <t>Hora</t>
        </is>
      </c>
      <c r="B21" s="14" t="inlineStr">
        <is>
          <t>Problema / Defecto</t>
        </is>
      </c>
      <c r="C21" s="14" t="inlineStr">
        <is>
          <t>Causa Raíz</t>
        </is>
      </c>
      <c r="D21" s="14" t="inlineStr">
        <is>
          <t>Acción Inmediata / Preventiva</t>
        </is>
      </c>
      <c r="E21" s="14" t="inlineStr">
        <is>
          <t>Responsable / Estado</t>
        </is>
      </c>
      <c r="F21" s="14" t="inlineStr">
        <is>
          <t>Seguimiento</t>
        </is>
      </c>
    </row>
    <row r="22" ht="20" customHeight="1">
      <c r="A22" s="15" t="inlineStr">
        <is>
          <t>02:00</t>
        </is>
      </c>
      <c r="B22" s="16" t="inlineStr">
        <is>
          <t>Temperatura elevada bomba</t>
        </is>
      </c>
      <c r="C22" s="16" t="inlineStr">
        <is>
          <t>Nivel de aceite bajo</t>
        </is>
      </c>
      <c r="D22" s="16" t="inlineStr">
        <is>
          <t>Relleno de lubricante hidráulico</t>
        </is>
      </c>
      <c r="E22" s="17" t="inlineStr">
        <is>
          <t>Mantenimiento [CERRADO]</t>
        </is>
      </c>
      <c r="F22" s="16" t="inlineStr"/>
    </row>
    <row r="23" ht="20" customHeight="1">
      <c r="A23" s="3" t="inlineStr"/>
      <c r="B23" s="4" t="inlineStr"/>
      <c r="C23" s="4" t="inlineStr"/>
      <c r="D23" s="4" t="inlineStr"/>
      <c r="E23" s="3" t="inlineStr"/>
      <c r="F23" s="4" t="inlineStr"/>
    </row>
    <row r="24" ht="20" customHeight="1">
      <c r="A24" s="5" t="inlineStr"/>
      <c r="B24" s="6" t="inlineStr"/>
      <c r="C24" s="6" t="inlineStr"/>
      <c r="D24" s="6" t="inlineStr"/>
      <c r="E24" s="5" t="inlineStr"/>
      <c r="F24" s="6" t="inlineStr"/>
    </row>
    <row r="25" ht="20" customHeight="1">
      <c r="A25" s="3" t="inlineStr"/>
      <c r="B25" s="4" t="inlineStr"/>
      <c r="C25" s="4" t="inlineStr"/>
      <c r="D25" s="4" t="inlineStr"/>
      <c r="E25" s="3" t="inlineStr"/>
      <c r="F25" s="4" t="inlineStr"/>
    </row>
    <row r="26" ht="20" customHeight="1">
      <c r="A26" s="5" t="inlineStr"/>
      <c r="B26" s="6" t="inlineStr"/>
      <c r="C26" s="6" t="inlineStr"/>
      <c r="D26" s="6" t="inlineStr"/>
      <c r="E26" s="5" t="inlineStr"/>
      <c r="F26" s="6" t="inlineStr"/>
    </row>
    <row r="27" ht="20" customHeight="1">
      <c r="A27" s="3" t="inlineStr"/>
      <c r="B27" s="4" t="inlineStr"/>
      <c r="C27" s="4" t="inlineStr"/>
      <c r="D27" s="4" t="inlineStr"/>
      <c r="E27" s="3" t="inlineStr"/>
      <c r="F27" s="4" t="inlineStr"/>
    </row>
    <row r="29" ht="28" customHeight="1">
      <c r="A29" s="18">
        <f>"TOTALES TURNO: " &amp; TEXT(D17,"#,##0") &amp; " Minutos de Parada | " &amp; TEXT(E17,"#,##0") &amp; " Minutos de Vacío | Eficiencia Neta: " &amp; TEXT((480-(D17+E17))/480,"0.0%")</f>
        <v/>
      </c>
    </row>
  </sheetData>
  <mergeCells count="5">
    <mergeCell ref="A1:F1"/>
    <mergeCell ref="A17:C17"/>
    <mergeCell ref="A3:F3"/>
    <mergeCell ref="A20:F20"/>
    <mergeCell ref="A29:F29"/>
  </mergeCells>
  <dataValidations count="1">
    <dataValidation sqref="B5:B16" showDropDown="0" showInputMessage="0" showErrorMessage="0" allowBlank="1" type="list">
      <formula1>='Catálogo Códigos'!$A$3:$A$16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2" customHeight="1">
      <c r="A1" s="1" t="inlineStr">
        <is>
          <t>RESUMEN CONSOLIDADO DIARIO DE PRODUCCIÓN</t>
        </is>
      </c>
    </row>
    <row r="3" ht="22" customHeight="1">
      <c r="A3" s="2" t="inlineStr">
        <is>
          <t>Turno</t>
        </is>
      </c>
      <c r="B3" s="2" t="inlineStr">
        <is>
          <t>Horas Turno</t>
        </is>
      </c>
      <c r="C3" s="2" t="inlineStr">
        <is>
          <t>Min. Paradas</t>
        </is>
      </c>
      <c r="D3" s="2" t="inlineStr">
        <is>
          <t>Min. Vacíos</t>
        </is>
      </c>
      <c r="E3" s="2" t="inlineStr">
        <is>
          <t>Tiempo Operativo</t>
        </is>
      </c>
      <c r="F3" s="2" t="inlineStr">
        <is>
          <t>% Disponibilidad</t>
        </is>
      </c>
      <c r="G3" s="2" t="inlineStr">
        <is>
          <t>Total Eventos</t>
        </is>
      </c>
    </row>
    <row r="4" ht="20" customHeight="1">
      <c r="A4" s="5" t="inlineStr">
        <is>
          <t>Mañana</t>
        </is>
      </c>
      <c r="B4" s="5" t="inlineStr">
        <is>
          <t>8.0 hs</t>
        </is>
      </c>
      <c r="C4" s="9">
        <f>'Turno Mañana'!D17</f>
        <v/>
      </c>
      <c r="D4" s="9">
        <f>'Turno Mañana'!E17</f>
        <v/>
      </c>
      <c r="E4" s="9">
        <f>480-(C4+D4)</f>
        <v/>
      </c>
      <c r="F4" s="19">
        <f>E4/480</f>
        <v/>
      </c>
      <c r="G4" s="20">
        <f>COUNTA('Turno Mañana'!B5:B16)</f>
        <v/>
      </c>
    </row>
    <row r="5" ht="20" customHeight="1">
      <c r="A5" s="3" t="inlineStr">
        <is>
          <t>Tarde</t>
        </is>
      </c>
      <c r="B5" s="3" t="inlineStr">
        <is>
          <t>8.0 hs</t>
        </is>
      </c>
      <c r="C5" s="8">
        <f>'Turno Tarde'!D17</f>
        <v/>
      </c>
      <c r="D5" s="8">
        <f>'Turno Tarde'!E17</f>
        <v/>
      </c>
      <c r="E5" s="8">
        <f>480-(C5+D5)</f>
        <v/>
      </c>
      <c r="F5" s="21">
        <f>E5/480</f>
        <v/>
      </c>
      <c r="G5" s="22">
        <f>COUNTA('Turno Tarde'!B5:B16)</f>
        <v/>
      </c>
    </row>
    <row r="6" ht="20" customHeight="1">
      <c r="A6" s="5" t="inlineStr">
        <is>
          <t>Noche</t>
        </is>
      </c>
      <c r="B6" s="5" t="inlineStr">
        <is>
          <t>8.0 hs</t>
        </is>
      </c>
      <c r="C6" s="9">
        <f>'Turno Noche'!D17</f>
        <v/>
      </c>
      <c r="D6" s="9">
        <f>'Turno Noche'!E17</f>
        <v/>
      </c>
      <c r="E6" s="9">
        <f>480-(C6+D6)</f>
        <v/>
      </c>
      <c r="F6" s="19">
        <f>E6/480</f>
        <v/>
      </c>
      <c r="G6" s="20">
        <f>COUNTA('Turno Noche'!B5:B16)</f>
        <v/>
      </c>
    </row>
    <row r="7" ht="24" customHeight="1">
      <c r="A7" s="10" t="inlineStr">
        <is>
          <t>TOTAL DÍA</t>
        </is>
      </c>
      <c r="B7" s="10" t="inlineStr">
        <is>
          <t>24.0 hs</t>
        </is>
      </c>
      <c r="C7" s="12">
        <f>SUM(C4:C6)</f>
        <v/>
      </c>
      <c r="D7" s="12">
        <f>SUM(D4:D6)</f>
        <v/>
      </c>
      <c r="E7" s="12">
        <f>SUM(E4:E6)</f>
        <v/>
      </c>
      <c r="F7" s="23">
        <f>E7/1440</f>
        <v/>
      </c>
      <c r="G7" s="24">
        <f>SUM(G4:G6)</f>
        <v/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5" customWidth="1" min="3" max="3"/>
    <col width="15" customWidth="1" min="4" max="4"/>
    <col width="18" customWidth="1" min="5" max="5"/>
    <col width="16" customWidth="1" min="6" max="6"/>
    <col width="16" customWidth="1" min="7" max="7"/>
    <col width="3" customWidth="1" min="8" max="8"/>
    <col width="18" customWidth="1" min="9" max="9"/>
    <col width="18" customWidth="1" min="10" max="10"/>
    <col width="18" customWidth="1" min="11" max="11"/>
  </cols>
  <sheetData>
    <row r="1" ht="34" customHeight="1">
      <c r="A1" s="25" t="inlineStr">
        <is>
          <t>VISTA 2: INFORME EJECUTIVO &amp; RESUMEN DIARIO (CONSOLIDADO)</t>
        </is>
      </c>
    </row>
    <row r="3" ht="18" customHeight="1">
      <c r="A3" s="26" t="inlineStr">
        <is>
          <t>TOTAL PARADAS DÍA</t>
        </is>
      </c>
      <c r="B3" s="27" t="n"/>
      <c r="D3" s="26" t="inlineStr">
        <is>
          <t>TOTAL VACÍOS HORNO</t>
        </is>
      </c>
      <c r="E3" s="27" t="n"/>
      <c r="G3" s="26" t="inlineStr">
        <is>
          <t>DISPONIBILIDAD</t>
        </is>
      </c>
      <c r="H3" s="27" t="n"/>
      <c r="J3" s="26" t="inlineStr">
        <is>
          <t>ACCIONES TOMADAS</t>
        </is>
      </c>
      <c r="K3" s="27" t="n"/>
    </row>
    <row r="4" ht="32" customHeight="1">
      <c r="A4" s="28">
        <f>'Resumen Diario'!C7</f>
        <v/>
      </c>
      <c r="B4" s="27" t="n"/>
      <c r="D4" s="29">
        <f>'Resumen Diario'!D7</f>
        <v/>
      </c>
      <c r="E4" s="27" t="n"/>
      <c r="G4" s="30">
        <f>'Resumen Diario'!F7</f>
        <v/>
      </c>
      <c r="H4" s="27" t="n"/>
      <c r="J4" s="31">
        <f>'Resumen Diario'!G7</f>
        <v/>
      </c>
      <c r="K4" s="27" t="n"/>
    </row>
    <row r="5" ht="18" customHeight="1">
      <c r="A5" s="32" t="inlineStr">
        <is>
          <t>Turno más afectado: Mañana</t>
        </is>
      </c>
      <c r="B5" s="27" t="n"/>
      <c r="D5" s="32" t="inlineStr">
        <is>
          <t>Pico en cambio de turno</t>
        </is>
      </c>
      <c r="E5" s="27" t="n"/>
      <c r="G5" s="32" t="inlineStr">
        <is>
          <t>Meta: &gt; 88% (+1.4%)</t>
        </is>
      </c>
      <c r="H5" s="27" t="n"/>
      <c r="J5" s="32" t="inlineStr">
        <is>
          <t>100% Tratadas</t>
        </is>
      </c>
      <c r="K5" s="27" t="n"/>
    </row>
    <row r="7" ht="20" customHeight="1">
      <c r="A7" s="33" t="inlineStr">
        <is>
          <t>Tabla Consolidada del Día (Fórmulas Automáticas SUMAR.SI / BUSCARX)</t>
        </is>
      </c>
    </row>
    <row r="8" ht="22" customHeight="1">
      <c r="A8" s="2" t="inlineStr">
        <is>
          <t>Turno</t>
        </is>
      </c>
      <c r="B8" s="2" t="inlineStr">
        <is>
          <t>Horas Turno</t>
        </is>
      </c>
      <c r="C8" s="2" t="inlineStr">
        <is>
          <t>Min. Paradas</t>
        </is>
      </c>
      <c r="D8" s="2" t="inlineStr">
        <is>
          <t>Min. Vacíos</t>
        </is>
      </c>
      <c r="E8" s="2" t="inlineStr">
        <is>
          <t>Tiempo Operativo</t>
        </is>
      </c>
      <c r="F8" s="2" t="inlineStr">
        <is>
          <t>% Disponibilidad</t>
        </is>
      </c>
      <c r="G8" s="2" t="inlineStr">
        <is>
          <t>Total Eventos</t>
        </is>
      </c>
    </row>
    <row r="9" ht="20" customHeight="1">
      <c r="A9" s="3" t="inlineStr">
        <is>
          <t>Mañana</t>
        </is>
      </c>
      <c r="B9" s="3" t="inlineStr">
        <is>
          <t>8.0 hs</t>
        </is>
      </c>
      <c r="C9" s="34">
        <f>'Resumen Diario'!C4</f>
        <v/>
      </c>
      <c r="D9" s="34">
        <f>'Resumen Diario'!D4</f>
        <v/>
      </c>
      <c r="E9" s="34">
        <f>'Resumen Diario'!E4</f>
        <v/>
      </c>
      <c r="F9" s="21">
        <f>'Resumen Diario'!F4</f>
        <v/>
      </c>
      <c r="G9" s="35">
        <f>'Resumen Diario'!G4</f>
        <v/>
      </c>
    </row>
    <row r="10" ht="20" customHeight="1">
      <c r="A10" s="5" t="inlineStr">
        <is>
          <t>Tarde</t>
        </is>
      </c>
      <c r="B10" s="5" t="inlineStr">
        <is>
          <t>8.0 hs</t>
        </is>
      </c>
      <c r="C10" s="36">
        <f>'Resumen Diario'!C5</f>
        <v/>
      </c>
      <c r="D10" s="36">
        <f>'Resumen Diario'!D5</f>
        <v/>
      </c>
      <c r="E10" s="36">
        <f>'Resumen Diario'!E5</f>
        <v/>
      </c>
      <c r="F10" s="19">
        <f>'Resumen Diario'!F5</f>
        <v/>
      </c>
      <c r="G10" s="37">
        <f>'Resumen Diario'!G5</f>
        <v/>
      </c>
    </row>
    <row r="11" ht="20" customHeight="1">
      <c r="A11" s="3" t="inlineStr">
        <is>
          <t>Noche</t>
        </is>
      </c>
      <c r="B11" s="3" t="inlineStr">
        <is>
          <t>8.0 hs</t>
        </is>
      </c>
      <c r="C11" s="34">
        <f>'Resumen Diario'!C6</f>
        <v/>
      </c>
      <c r="D11" s="34">
        <f>'Resumen Diario'!D6</f>
        <v/>
      </c>
      <c r="E11" s="34">
        <f>'Resumen Diario'!E6</f>
        <v/>
      </c>
      <c r="F11" s="21">
        <f>'Resumen Diario'!F6</f>
        <v/>
      </c>
      <c r="G11" s="35">
        <f>'Resumen Diario'!G6</f>
        <v/>
      </c>
    </row>
    <row r="12" ht="24" customHeight="1">
      <c r="A12" s="10" t="inlineStr">
        <is>
          <t>TOTAL DÍA</t>
        </is>
      </c>
      <c r="B12" s="10" t="inlineStr">
        <is>
          <t>24.0 hs</t>
        </is>
      </c>
      <c r="C12" s="38">
        <f>'Resumen Diario'!C7</f>
        <v/>
      </c>
      <c r="D12" s="38">
        <f>'Resumen Diario'!D7</f>
        <v/>
      </c>
      <c r="E12" s="38">
        <f>'Resumen Diario'!E7</f>
        <v/>
      </c>
      <c r="F12" s="23">
        <f>'Resumen Diario'!F7</f>
        <v/>
      </c>
      <c r="G12" s="39">
        <f>'Resumen Diario'!G7</f>
        <v/>
      </c>
    </row>
    <row r="15" ht="20" customHeight="1">
      <c r="A15" s="33" t="inlineStr">
        <is>
          <t>Top 5 Códigos con Mayor Impacto (Minutos Acumulados Día)</t>
        </is>
      </c>
    </row>
    <row r="16" ht="22" customHeight="1">
      <c r="A16" s="40" t="inlineStr">
        <is>
          <t>Código</t>
        </is>
      </c>
      <c r="B16" s="40" t="inlineStr">
        <is>
          <t>Motivo Principal</t>
        </is>
      </c>
      <c r="C16" s="40" t="inlineStr">
        <is>
          <t>Min. Totales</t>
        </is>
      </c>
      <c r="D16" s="40" t="inlineStr">
        <is>
          <t>% Impacto</t>
        </is>
      </c>
      <c r="E16" s="40" t="inlineStr">
        <is>
          <t>Clasificación</t>
        </is>
      </c>
    </row>
    <row r="17" ht="20" customHeight="1">
      <c r="A17" s="3" t="inlineStr">
        <is>
          <t>P-102</t>
        </is>
      </c>
      <c r="B17" s="4" t="inlineStr">
        <is>
          <t>Falla Hidráulica Prensa 1</t>
        </is>
      </c>
      <c r="C17" s="34">
        <f>SUMIF('Turno Mañana'!$B$5:$B$16, A17, 'Turno Mañana'!$D$5:$D$16) + SUMIF('Turno Mañana'!$B$5:$B$16, A17, 'Turno Mañana'!$E$5:$E$16) + SUMIF('Turno Tarde'!$B$5:$B$16, A17, 'Turno Tarde'!$D$5:$D$16) + SUMIF('Turno Tarde'!$B$5:$B$16, A17, 'Turno Tarde'!$E$5:$E$16) + SUMIF('Turno Noche'!$B$5:$B$16, A17, 'Turno Noche'!$D$5:$D$16) + SUMIF('Turno Noche'!$B$5:$B$16, A17, 'Turno Noche'!$E$5:$E$16)</f>
        <v/>
      </c>
      <c r="D17" s="21">
        <f>C17/('Resumen Diario'!$C$7+'Resumen Diario'!$D$7)</f>
        <v/>
      </c>
      <c r="E17" s="3" t="inlineStr">
        <is>
          <t>Crítico</t>
        </is>
      </c>
    </row>
    <row r="18" ht="20" customHeight="1">
      <c r="A18" s="5" t="inlineStr">
        <is>
          <t>V-201</t>
        </is>
      </c>
      <c r="B18" s="6" t="inlineStr">
        <is>
          <t>Vacío Horno / Falta carga L-2</t>
        </is>
      </c>
      <c r="C18" s="36">
        <f>SUMIF('Turno Mañana'!$B$5:$B$16, A18, 'Turno Mañana'!$D$5:$D$16) + SUMIF('Turno Mañana'!$B$5:$B$16, A18, 'Turno Mañana'!$E$5:$E$16) + SUMIF('Turno Tarde'!$B$5:$B$16, A18, 'Turno Tarde'!$D$5:$D$16) + SUMIF('Turno Tarde'!$B$5:$B$16, A18, 'Turno Tarde'!$E$5:$E$16) + SUMIF('Turno Noche'!$B$5:$B$16, A18, 'Turno Noche'!$D$5:$D$16) + SUMIF('Turno Noche'!$B$5:$B$16, A18, 'Turno Noche'!$E$5:$E$16)</f>
        <v/>
      </c>
      <c r="D18" s="19">
        <f>C18/('Resumen Diario'!$C$7+'Resumen Diario'!$D$7)</f>
        <v/>
      </c>
      <c r="E18" s="5" t="inlineStr">
        <is>
          <t>Crítico</t>
        </is>
      </c>
    </row>
    <row r="19" ht="20" customHeight="1">
      <c r="A19" s="3" t="inlineStr">
        <is>
          <t>P-301</t>
        </is>
      </c>
      <c r="B19" s="4" t="inlineStr">
        <is>
          <t>Cambio de Molde / Formato</t>
        </is>
      </c>
      <c r="C19" s="34">
        <f>SUMIF('Turno Mañana'!$B$5:$B$16, A19, 'Turno Mañana'!$D$5:$D$16) + SUMIF('Turno Mañana'!$B$5:$B$16, A19, 'Turno Mañana'!$E$5:$E$16) + SUMIF('Turno Tarde'!$B$5:$B$16, A19, 'Turno Tarde'!$D$5:$D$16) + SUMIF('Turno Tarde'!$B$5:$B$16, A19, 'Turno Tarde'!$E$5:$E$16) + SUMIF('Turno Noche'!$B$5:$B$16, A19, 'Turno Noche'!$D$5:$D$16) + SUMIF('Turno Noche'!$B$5:$B$16, A19, 'Turno Noche'!$E$5:$E$16)</f>
        <v/>
      </c>
      <c r="D19" s="21">
        <f>C19/('Resumen Diario'!$C$7+'Resumen Diario'!$D$7)</f>
        <v/>
      </c>
      <c r="E19" s="3" t="inlineStr">
        <is>
          <t>Atención</t>
        </is>
      </c>
    </row>
    <row r="20" ht="20" customHeight="1">
      <c r="A20" s="5" t="inlineStr">
        <is>
          <t>P-105</t>
        </is>
      </c>
      <c r="B20" s="6" t="inlineStr">
        <is>
          <t>Atasco Salida Prensa</t>
        </is>
      </c>
      <c r="C20" s="36">
        <f>SUMIF('Turno Mañana'!$B$5:$B$16, A20, 'Turno Mañana'!$D$5:$D$16) + SUMIF('Turno Mañana'!$B$5:$B$16, A20, 'Turno Mañana'!$E$5:$E$16) + SUMIF('Turno Tarde'!$B$5:$B$16, A20, 'Turno Tarde'!$D$5:$D$16) + SUMIF('Turno Tarde'!$B$5:$B$16, A20, 'Turno Tarde'!$E$5:$E$16) + SUMIF('Turno Noche'!$B$5:$B$16, A20, 'Turno Noche'!$D$5:$D$16) + SUMIF('Turno Noche'!$B$5:$B$16, A20, 'Turno Noche'!$E$5:$E$16)</f>
        <v/>
      </c>
      <c r="D20" s="19">
        <f>C20/('Resumen Diario'!$C$7+'Resumen Diario'!$D$7)</f>
        <v/>
      </c>
      <c r="E20" s="5" t="inlineStr">
        <is>
          <t>Atención</t>
        </is>
      </c>
    </row>
    <row r="21" ht="20" customHeight="1">
      <c r="A21" s="3" t="inlineStr">
        <is>
          <t>P-204</t>
        </is>
      </c>
      <c r="B21" s="4" t="inlineStr">
        <is>
          <t>Falla Eléctrica Distribución</t>
        </is>
      </c>
      <c r="C21" s="34">
        <f>SUMIF('Turno Mañana'!$B$5:$B$16, A21, 'Turno Mañana'!$D$5:$D$16) + SUMIF('Turno Mañana'!$B$5:$B$16, A21, 'Turno Mañana'!$E$5:$E$16) + SUMIF('Turno Tarde'!$B$5:$B$16, A21, 'Turno Tarde'!$D$5:$D$16) + SUMIF('Turno Tarde'!$B$5:$B$16, A21, 'Turno Tarde'!$E$5:$E$16) + SUMIF('Turno Noche'!$B$5:$B$16, A21, 'Turno Noche'!$D$5:$D$16) + SUMIF('Turno Noche'!$B$5:$B$16, A21, 'Turno Noche'!$E$5:$E$16)</f>
        <v/>
      </c>
      <c r="D21" s="21">
        <f>C21/('Resumen Diario'!$C$7+'Resumen Diario'!$D$7)</f>
        <v/>
      </c>
      <c r="E21" s="3" t="inlineStr">
        <is>
          <t>Atención</t>
        </is>
      </c>
    </row>
  </sheetData>
  <mergeCells count="15">
    <mergeCell ref="A4:B4"/>
    <mergeCell ref="G4:H4"/>
    <mergeCell ref="J3:K3"/>
    <mergeCell ref="J4:K4"/>
    <mergeCell ref="J5:K5"/>
    <mergeCell ref="A15:E15"/>
    <mergeCell ref="D5:E5"/>
    <mergeCell ref="A5:B5"/>
    <mergeCell ref="A1:K1"/>
    <mergeCell ref="G5:H5"/>
    <mergeCell ref="D4:E4"/>
    <mergeCell ref="A7:G7"/>
    <mergeCell ref="D3:E3"/>
    <mergeCell ref="A3:B3"/>
    <mergeCell ref="G3:H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2026-09-19T00:10:23Z</dcterms:created>
  <dcterms:modified xmlns:dcterms="http://purl.org/dc/terms/" xmlns:xsi="http://www.w3.org/2001/XMLSchema-instance" xsi:type="dcterms:W3CDTF">2026-09-19T00:10:23Z</dcterms:modified>
</cp:coreProperties>
</file>