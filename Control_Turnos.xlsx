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OGRAMADOR\Downloads\"/>
    </mc:Choice>
  </mc:AlternateContent>
  <xr:revisionPtr revIDLastSave="0" documentId="13_ncr:1_{51BB3785-2BBD-4230-BB8A-EEFE92032C9D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Catálogo" sheetId="1" r:id="rId1"/>
    <sheet name="Registro Turnos" sheetId="2" r:id="rId2"/>
    <sheet name="Dashboard Ejecutiv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2" l="1"/>
  <c r="D22" i="3"/>
  <c r="D21" i="3"/>
  <c r="D20" i="3"/>
  <c r="D19" i="3"/>
  <c r="D18" i="3"/>
  <c r="D17" i="3"/>
  <c r="D16" i="3"/>
  <c r="E50" i="2"/>
  <c r="F11" i="3" s="1"/>
  <c r="D50" i="2"/>
  <c r="E11" i="3" s="1"/>
  <c r="C50" i="2"/>
  <c r="E32" i="2"/>
  <c r="F10" i="3" s="1"/>
  <c r="D32" i="2"/>
  <c r="E10" i="3" s="1"/>
  <c r="C32" i="2"/>
  <c r="D10" i="3" s="1"/>
  <c r="E11" i="2"/>
  <c r="F9" i="3" s="1"/>
  <c r="D11" i="2"/>
  <c r="E9" i="3" s="1"/>
  <c r="C11" i="2"/>
  <c r="D9" i="3" s="1"/>
  <c r="F50" i="2" l="1"/>
  <c r="F32" i="2"/>
  <c r="F12" i="3"/>
  <c r="G10" i="3"/>
  <c r="H10" i="3" s="1"/>
  <c r="E12" i="3"/>
  <c r="G9" i="3"/>
  <c r="H4" i="3"/>
  <c r="D11" i="3"/>
  <c r="G11" i="3" s="1"/>
  <c r="H11" i="3" s="1"/>
  <c r="B4" i="3"/>
  <c r="E4" i="3"/>
  <c r="H9" i="3" l="1"/>
  <c r="G12" i="3"/>
  <c r="D12" i="3"/>
  <c r="K4" i="3" s="1"/>
  <c r="E22" i="3" l="1"/>
  <c r="E20" i="3"/>
  <c r="E18" i="3"/>
  <c r="E16" i="3"/>
  <c r="E21" i="3"/>
  <c r="E19" i="3"/>
  <c r="E17" i="3"/>
  <c r="H12" i="3"/>
</calcChain>
</file>

<file path=xl/sharedStrings.xml><?xml version="1.0" encoding="utf-8"?>
<sst xmlns="http://schemas.openxmlformats.org/spreadsheetml/2006/main" count="153" uniqueCount="97">
  <si>
    <t>CATÁLOGO DE CÓDIGOS DE PLANTA</t>
  </si>
  <si>
    <t>CÓDIGO</t>
  </si>
  <si>
    <t>DESCRIPCIÓN HABITUAL</t>
  </si>
  <si>
    <t>LIN 501</t>
  </si>
  <si>
    <t>Alarma comp N2 en descarga box siti</t>
  </si>
  <si>
    <t>ESM 403</t>
  </si>
  <si>
    <t>Lavado de aplicaciones esmaltado</t>
  </si>
  <si>
    <t>PRE 101</t>
  </si>
  <si>
    <t>Falla Hidráulica Prensa</t>
  </si>
  <si>
    <t>PRE 102</t>
  </si>
  <si>
    <t>Atasco / Descuadre en salida prensa</t>
  </si>
  <si>
    <t>PRE 201</t>
  </si>
  <si>
    <t>Cambio de Molde / Formato</t>
  </si>
  <si>
    <t>HOR 301</t>
  </si>
  <si>
    <t>Vacío Horno por falta de alimentación</t>
  </si>
  <si>
    <t>HOR 302</t>
  </si>
  <si>
    <t>Regulación térmica / curva de cocción</t>
  </si>
  <si>
    <t>MEC 105</t>
  </si>
  <si>
    <t>Mantenimiento Mecánico General</t>
  </si>
  <si>
    <t>ELE 106</t>
  </si>
  <si>
    <t>Falla de Sensores / Eléctrica</t>
  </si>
  <si>
    <t>O-999</t>
  </si>
  <si>
    <t>Otros imprevistos</t>
  </si>
  <si>
    <t>TURNO: MAÑANA</t>
  </si>
  <si>
    <t>PARADA MIN EQUIPO</t>
  </si>
  <si>
    <t>PARADA MIN PROG</t>
  </si>
  <si>
    <t>VACÍO HORNO MIN</t>
  </si>
  <si>
    <t>CAUSA / OBSERVACIÓN</t>
  </si>
  <si>
    <t>Falla electroválvula bomba principal</t>
  </si>
  <si>
    <t>Falta alimentación por rotura compensador</t>
  </si>
  <si>
    <t>Cambio de espesor y formato</t>
  </si>
  <si>
    <t>ACCIONES CORRECTIVAS &amp; MEJORAS DE CALIDAD - TURNO: MAÑANA</t>
  </si>
  <si>
    <t>Hora</t>
  </si>
  <si>
    <t>Problema / Defecto</t>
  </si>
  <si>
    <t>Acción Correctiva / Preventiva</t>
  </si>
  <si>
    <t>Responsable</t>
  </si>
  <si>
    <t>Estado</t>
  </si>
  <si>
    <t>Observaciones</t>
  </si>
  <si>
    <t>07:30</t>
  </si>
  <si>
    <t>Descalibre en espesor de salida</t>
  </si>
  <si>
    <t>Ajuste de cota en galga central y reemplazo de placa de guía desgastada</t>
  </si>
  <si>
    <t>Mantenimiento</t>
  </si>
  <si>
    <t>Cerrado</t>
  </si>
  <si>
    <t>Inspección conforme</t>
  </si>
  <si>
    <t>TURNO: TARDE</t>
  </si>
  <si>
    <t>Falla sensor inductivo fin de carrera</t>
  </si>
  <si>
    <t>Lavado programado de campanas</t>
  </si>
  <si>
    <t>Atasco y descuadre de placa</t>
  </si>
  <si>
    <t>TOTAL TURNO: TARDE</t>
  </si>
  <si>
    <t>ACCIONES CORRECTIVAS &amp; MEJORAS DE CALIDAD - TURNO: TARDE</t>
  </si>
  <si>
    <t>16:15</t>
  </si>
  <si>
    <t>Atasco repetitivo en salida</t>
  </si>
  <si>
    <t>Limpieza profunda de rodillos y calibración fina de fotocélula de paso</t>
  </si>
  <si>
    <t>Operador</t>
  </si>
  <si>
    <t>Controlado por 2 horas</t>
  </si>
  <si>
    <t>TURNO: NOCHE</t>
  </si>
  <si>
    <t>lavado de aplicaciones</t>
  </si>
  <si>
    <t>Regulación de correas transportadoras</t>
  </si>
  <si>
    <t>TOTAL TURNO: NOCHE</t>
  </si>
  <si>
    <t>ACCIONES CORRECTIVAS &amp; MEJORAS DE CALIDAD - TURNO: NOCHE</t>
  </si>
  <si>
    <t>02:00</t>
  </si>
  <si>
    <t>Alarma comp N2 descarga</t>
  </si>
  <si>
    <t>Purgado completo de circuito neumático, rearme de manómetro y reseteo</t>
  </si>
  <si>
    <t>Sin reincidencia en turno</t>
  </si>
  <si>
    <t>DASHBOARD EJECUTIVO - RENDIMIENTO Y PÉRDIDAS OPERATIVAS (24 HS)</t>
  </si>
  <si>
    <t>PARADAS EQUIPO</t>
  </si>
  <si>
    <t>PARADAS PROGRAMADAS</t>
  </si>
  <si>
    <t>VACÍOS HORNO</t>
  </si>
  <si>
    <t>DISPONIBILIDAD GLOBAL</t>
  </si>
  <si>
    <t>Meta planta: &gt; 88.0%</t>
  </si>
  <si>
    <t>RESUMEN CONSOLIDADO POR TURNO (24 HORAS)</t>
  </si>
  <si>
    <t>Turno</t>
  </si>
  <si>
    <t>Horas</t>
  </si>
  <si>
    <t>Min. Equipo</t>
  </si>
  <si>
    <t>Min. Prog.</t>
  </si>
  <si>
    <t>Vacío Horno</t>
  </si>
  <si>
    <t>Total Pérdida</t>
  </si>
  <si>
    <t>% Disponibilidad</t>
  </si>
  <si>
    <t>Mañana</t>
  </si>
  <si>
    <t>8.0 hs</t>
  </si>
  <si>
    <t>Tarde</t>
  </si>
  <si>
    <t>Noche</t>
  </si>
  <si>
    <t>TOTAL DÍA</t>
  </si>
  <si>
    <t>24.0 hs</t>
  </si>
  <si>
    <t>RANKING DE CÓDIGOS CON MAYOR PÉRDIDA EN EL DÍA (FÓRMULAS SUMAR.SI)</t>
  </si>
  <si>
    <t>Código</t>
  </si>
  <si>
    <t>Descripción</t>
  </si>
  <si>
    <t>Minutos Totales</t>
  </si>
  <si>
    <t>% Pérdida Día</t>
  </si>
  <si>
    <t>Criticidad</t>
  </si>
  <si>
    <t>Alta</t>
  </si>
  <si>
    <t>Media</t>
  </si>
  <si>
    <t>cerrado</t>
  </si>
  <si>
    <t>Cambios / lavados / setups</t>
  </si>
  <si>
    <t>Paradas imprevistas de equipos</t>
  </si>
  <si>
    <t>Espacios en Horno</t>
  </si>
  <si>
    <t>TOTAL 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</si>
</sst>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min&quot;"/>
    <numFmt numFmtId="165" formatCode="0.0%"/>
  </numFmts>
  <fonts count="2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9.5"/>
      <color rgb="FFFFFFFF"/>
      <name val="Calibri"/>
    </font>
    <font>
      <sz val="9"/>
      <color rgb="FF334155"/>
      <name val="Calibri"/>
    </font>
    <font>
      <b/>
      <sz val="9.5"/>
      <color rgb="FF1E293B"/>
      <name val="Calibri"/>
    </font>
    <font>
      <b/>
      <sz val="9"/>
      <color rgb="FF1E293B"/>
      <name val="Calibri"/>
    </font>
    <font>
      <b/>
      <sz val="9"/>
      <color rgb="FF047857"/>
      <name val="Calibri"/>
    </font>
    <font>
      <b/>
      <sz val="13"/>
      <color rgb="FFFFFFFF"/>
      <name val="Calibri"/>
    </font>
    <font>
      <b/>
      <sz val="18"/>
      <color rgb="FF1E293B"/>
      <name val="Calibri"/>
    </font>
    <font>
      <b/>
      <sz val="10"/>
      <color rgb="FF0F172A"/>
      <name val="Calibri"/>
    </font>
    <font>
      <b/>
      <sz val="9"/>
      <color rgb="FFFFFFFF"/>
      <name val="Calibri"/>
    </font>
    <font>
      <b/>
      <sz val="9"/>
      <name val="Calibri"/>
      <family val="2"/>
    </font>
    <font>
      <b/>
      <sz val="11"/>
      <color theme="4" tint="-0.249977111117893"/>
      <name val="Calibri"/>
      <family val="2"/>
    </font>
    <font>
      <b/>
      <sz val="10"/>
      <color theme="4" tint="-0.249977111117893"/>
      <name val="Calibri"/>
      <family val="2"/>
    </font>
    <font>
      <b/>
      <sz val="10"/>
      <color theme="4" tint="-0.249977111117893"/>
      <name val="Calibri"/>
      <family val="2"/>
      <scheme val="minor"/>
    </font>
    <font>
      <b/>
      <sz val="10"/>
      <color rgb="FF0F172A"/>
      <name val="Calibri"/>
      <family val="2"/>
    </font>
    <font>
      <b/>
      <sz val="11"/>
      <color rgb="FF1E293B"/>
      <name val="Calibri"/>
      <family val="2"/>
    </font>
    <font>
      <b/>
      <sz val="11"/>
      <color rgb="FF334155"/>
      <name val="Calibri"/>
      <family val="2"/>
    </font>
    <font>
      <b/>
      <sz val="11"/>
      <color rgb="FF0F172A"/>
      <name val="Calibri"/>
      <family val="2"/>
    </font>
    <font>
      <i/>
      <sz val="12"/>
      <color rgb="FF64748B"/>
      <name val="Calibri"/>
      <family val="2"/>
    </font>
    <font>
      <sz val="12"/>
      <color theme="1"/>
      <name val="Calibri"/>
      <family val="2"/>
      <scheme val="minor"/>
    </font>
    <font>
      <sz val="10"/>
      <color rgb="FF334155"/>
      <name val="Calibri"/>
      <family val="2"/>
    </font>
    <font>
      <b/>
      <sz val="9"/>
      <color rgb="FF64748B"/>
      <name val="Calibri"/>
      <family val="2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75569"/>
      </patternFill>
    </fill>
    <fill>
      <patternFill patternType="solid">
        <fgColor rgb="FF64748B"/>
      </patternFill>
    </fill>
    <fill>
      <patternFill patternType="solid">
        <fgColor rgb="FFFFFFFF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CBD5E1"/>
      </left>
      <right style="thin">
        <color rgb="FFCBD5E1"/>
      </right>
      <top style="thin">
        <color indexed="64"/>
      </top>
      <bottom style="thin">
        <color rgb="FFCBD5E1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rgb="FF00B0F0"/>
      </right>
      <top style="thin">
        <color indexed="64"/>
      </top>
      <bottom style="thin">
        <color indexed="64"/>
      </bottom>
      <diagonal/>
    </border>
    <border>
      <left style="double">
        <color rgb="FF00B0F0"/>
      </left>
      <right style="double">
        <color rgb="FF00B0F0"/>
      </right>
      <top style="thin">
        <color indexed="64"/>
      </top>
      <bottom style="thin">
        <color indexed="64"/>
      </bottom>
      <diagonal/>
    </border>
    <border>
      <left style="double">
        <color rgb="FF00B0F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9" tint="-0.249977111117893"/>
      </right>
      <top style="thin">
        <color indexed="64"/>
      </top>
      <bottom/>
      <diagonal/>
    </border>
    <border>
      <left style="double">
        <color theme="9" tint="-0.249977111117893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CBD5E1"/>
      </right>
      <top style="thin">
        <color indexed="64"/>
      </top>
      <bottom style="thin">
        <color rgb="FFCBD5E1"/>
      </bottom>
      <diagonal/>
    </border>
    <border>
      <left style="thin">
        <color rgb="FFCBD5E1"/>
      </left>
      <right style="thin">
        <color indexed="64"/>
      </right>
      <top style="thin">
        <color indexed="64"/>
      </top>
      <bottom style="thin">
        <color rgb="FFCBD5E1"/>
      </bottom>
      <diagonal/>
    </border>
    <border>
      <left style="thin">
        <color indexed="64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indexed="64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rgb="FFCBD5E1"/>
      </right>
      <top style="medium">
        <color rgb="FF334155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medium">
        <color rgb="FF334155"/>
      </top>
      <bottom style="thin">
        <color indexed="64"/>
      </bottom>
      <diagonal/>
    </border>
    <border>
      <left style="thin">
        <color rgb="FFCBD5E1"/>
      </left>
      <right style="thin">
        <color indexed="64"/>
      </right>
      <top style="medium">
        <color rgb="FF334155"/>
      </top>
      <bottom style="thin">
        <color indexed="64"/>
      </bottom>
      <diagonal/>
    </border>
    <border>
      <left/>
      <right/>
      <top/>
      <bottom style="thick">
        <color rgb="FFFF0000"/>
      </bottom>
      <diagonal/>
    </border>
    <border>
      <left style="thin">
        <color rgb="FFCBD5E1"/>
      </left>
      <right style="thin">
        <color rgb="FFCBD5E1"/>
      </right>
      <top style="thick">
        <color rgb="FF00B0F0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ck">
        <color rgb="FFFFC000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ck">
        <color rgb="FF00B050"/>
      </top>
      <bottom style="thin">
        <color rgb="FFCBD5E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165" fontId="3" fillId="6" borderId="1" xfId="0" applyNumberFormat="1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1" xfId="0" applyBorder="1"/>
    <xf numFmtId="164" fontId="8" fillId="6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9" fillId="0" borderId="0" xfId="0" applyFont="1"/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8" borderId="2" xfId="0" applyFill="1" applyBorder="1"/>
    <xf numFmtId="3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/>
    <xf numFmtId="0" fontId="0" fillId="0" borderId="0" xfId="0" applyBorder="1"/>
    <xf numFmtId="0" fontId="13" fillId="4" borderId="3" xfId="0" applyFont="1" applyFill="1" applyBorder="1" applyAlignment="1">
      <alignment horizontal="center" vertical="center"/>
    </xf>
    <xf numFmtId="49" fontId="13" fillId="4" borderId="3" xfId="0" applyNumberFormat="1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9" fontId="13" fillId="4" borderId="4" xfId="0" applyNumberFormat="1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9" fontId="13" fillId="4" borderId="4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4" fillId="0" borderId="0" xfId="0" applyFont="1"/>
    <xf numFmtId="0" fontId="13" fillId="4" borderId="2" xfId="0" applyFont="1" applyFill="1" applyBorder="1" applyAlignment="1">
      <alignment horizontal="left" vertical="center"/>
    </xf>
    <xf numFmtId="0" fontId="14" fillId="0" borderId="2" xfId="0" applyFont="1" applyBorder="1"/>
    <xf numFmtId="0" fontId="0" fillId="0" borderId="13" xfId="0" applyBorder="1"/>
    <xf numFmtId="0" fontId="0" fillId="0" borderId="14" xfId="0" applyBorder="1"/>
    <xf numFmtId="0" fontId="16" fillId="8" borderId="8" xfId="0" applyFont="1" applyFill="1" applyBorder="1" applyAlignment="1">
      <alignment horizontal="center" vertical="center"/>
    </xf>
    <xf numFmtId="0" fontId="0" fillId="8" borderId="9" xfId="0" applyFont="1" applyFill="1" applyBorder="1"/>
    <xf numFmtId="0" fontId="0" fillId="8" borderId="10" xfId="0" applyFont="1" applyFill="1" applyBorder="1"/>
    <xf numFmtId="0" fontId="17" fillId="9" borderId="5" xfId="0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/>
    </xf>
    <xf numFmtId="0" fontId="17" fillId="9" borderId="7" xfId="0" applyFont="1" applyFill="1" applyBorder="1"/>
    <xf numFmtId="0" fontId="13" fillId="4" borderId="0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left" vertical="center"/>
    </xf>
    <xf numFmtId="0" fontId="13" fillId="4" borderId="0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3" fontId="12" fillId="4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20" fillId="0" borderId="1" xfId="0" applyFont="1" applyBorder="1"/>
    <xf numFmtId="0" fontId="16" fillId="13" borderId="2" xfId="0" applyFont="1" applyFill="1" applyBorder="1" applyAlignment="1">
      <alignment horizontal="center" vertical="center"/>
    </xf>
    <xf numFmtId="0" fontId="0" fillId="13" borderId="2" xfId="0" applyFont="1" applyFill="1" applyBorder="1"/>
    <xf numFmtId="0" fontId="17" fillId="10" borderId="3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/>
    </xf>
    <xf numFmtId="0" fontId="17" fillId="10" borderId="12" xfId="0" applyFont="1" applyFill="1" applyBorder="1" applyAlignment="1">
      <alignment horizontal="center" vertical="center" wrapText="1"/>
    </xf>
    <xf numFmtId="0" fontId="17" fillId="10" borderId="21" xfId="0" applyFont="1" applyFill="1" applyBorder="1" applyAlignment="1">
      <alignment horizontal="center" vertical="center"/>
    </xf>
    <xf numFmtId="0" fontId="17" fillId="10" borderId="22" xfId="0" applyFont="1" applyFill="1" applyBorder="1"/>
    <xf numFmtId="0" fontId="5" fillId="10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 wrapText="1"/>
    </xf>
    <xf numFmtId="0" fontId="17" fillId="11" borderId="2" xfId="0" applyFont="1" applyFill="1" applyBorder="1" applyAlignment="1">
      <alignment horizontal="center" vertical="center"/>
    </xf>
    <xf numFmtId="0" fontId="17" fillId="11" borderId="2" xfId="0" applyFont="1" applyFill="1" applyBorder="1"/>
    <xf numFmtId="0" fontId="16" fillId="11" borderId="2" xfId="0" applyFont="1" applyFill="1" applyBorder="1" applyAlignment="1">
      <alignment horizontal="center" vertical="center"/>
    </xf>
    <xf numFmtId="0" fontId="16" fillId="11" borderId="20" xfId="0" applyFont="1" applyFill="1" applyBorder="1" applyAlignment="1">
      <alignment horizontal="center" vertical="center"/>
    </xf>
    <xf numFmtId="0" fontId="16" fillId="11" borderId="16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16" fillId="11" borderId="0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3" fontId="15" fillId="10" borderId="2" xfId="0" applyNumberFormat="1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5" fillId="10" borderId="2" xfId="0" applyFont="1" applyFill="1" applyBorder="1"/>
    <xf numFmtId="3" fontId="18" fillId="11" borderId="2" xfId="0" applyNumberFormat="1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18" fillId="11" borderId="2" xfId="0" applyFont="1" applyFill="1" applyBorder="1"/>
    <xf numFmtId="0" fontId="11" fillId="9" borderId="2" xfId="0" applyFont="1" applyFill="1" applyBorder="1" applyAlignment="1">
      <alignment horizontal="center" vertical="center"/>
    </xf>
    <xf numFmtId="3" fontId="11" fillId="9" borderId="2" xfId="0" applyNumberFormat="1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0" fontId="0" fillId="12" borderId="2" xfId="0" applyFont="1" applyFill="1" applyBorder="1"/>
    <xf numFmtId="0" fontId="10" fillId="2" borderId="23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21" fillId="9" borderId="25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1" fillId="10" borderId="25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1" fillId="11" borderId="25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164" fontId="21" fillId="9" borderId="1" xfId="0" applyNumberFormat="1" applyFont="1" applyFill="1" applyBorder="1" applyAlignment="1">
      <alignment horizontal="center" vertical="center"/>
    </xf>
    <xf numFmtId="165" fontId="21" fillId="9" borderId="26" xfId="0" applyNumberFormat="1" applyFont="1" applyFill="1" applyBorder="1" applyAlignment="1">
      <alignment horizontal="center" vertical="center"/>
    </xf>
    <xf numFmtId="164" fontId="21" fillId="10" borderId="1" xfId="0" applyNumberFormat="1" applyFont="1" applyFill="1" applyBorder="1" applyAlignment="1">
      <alignment horizontal="center" vertical="center"/>
    </xf>
    <xf numFmtId="165" fontId="21" fillId="10" borderId="26" xfId="0" applyNumberFormat="1" applyFont="1" applyFill="1" applyBorder="1" applyAlignment="1">
      <alignment horizontal="center" vertical="center"/>
    </xf>
    <xf numFmtId="164" fontId="21" fillId="11" borderId="1" xfId="0" applyNumberFormat="1" applyFont="1" applyFill="1" applyBorder="1" applyAlignment="1">
      <alignment horizontal="center" vertical="center"/>
    </xf>
    <xf numFmtId="165" fontId="21" fillId="11" borderId="26" xfId="0" applyNumberFormat="1" applyFont="1" applyFill="1" applyBorder="1" applyAlignment="1">
      <alignment horizontal="center" vertical="center"/>
    </xf>
    <xf numFmtId="0" fontId="0" fillId="0" borderId="30" xfId="0" applyBorder="1"/>
    <xf numFmtId="0" fontId="22" fillId="6" borderId="31" xfId="0" applyFont="1" applyFill="1" applyBorder="1" applyAlignment="1">
      <alignment horizontal="center" vertical="center"/>
    </xf>
    <xf numFmtId="0" fontId="23" fillId="0" borderId="31" xfId="0" applyFont="1" applyBorder="1"/>
    <xf numFmtId="0" fontId="22" fillId="6" borderId="11" xfId="0" applyFont="1" applyFill="1" applyBorder="1" applyAlignment="1">
      <alignment horizontal="center" vertical="center"/>
    </xf>
    <xf numFmtId="0" fontId="23" fillId="0" borderId="11" xfId="0" applyFont="1" applyBorder="1"/>
    <xf numFmtId="0" fontId="22" fillId="6" borderId="32" xfId="0" applyFont="1" applyFill="1" applyBorder="1" applyAlignment="1">
      <alignment horizontal="center" vertical="center"/>
    </xf>
    <xf numFmtId="0" fontId="23" fillId="0" borderId="32" xfId="0" applyFont="1" applyBorder="1"/>
    <xf numFmtId="0" fontId="22" fillId="6" borderId="33" xfId="0" applyFont="1" applyFill="1" applyBorder="1" applyAlignment="1">
      <alignment horizontal="center" vertical="center"/>
    </xf>
    <xf numFmtId="0" fontId="23" fillId="0" borderId="33" xfId="0" applyFont="1" applyBorder="1"/>
    <xf numFmtId="0" fontId="18" fillId="7" borderId="27" xfId="0" applyFont="1" applyFill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164" fontId="18" fillId="7" borderId="28" xfId="0" applyNumberFormat="1" applyFont="1" applyFill="1" applyBorder="1" applyAlignment="1">
      <alignment horizontal="center" vertical="center"/>
    </xf>
    <xf numFmtId="165" fontId="18" fillId="7" borderId="29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0" fontId="4" fillId="13" borderId="2" xfId="0" applyFont="1" applyFill="1" applyBorder="1" applyAlignment="1">
      <alignment horizontal="left" vertical="center" indent="1"/>
    </xf>
    <xf numFmtId="0" fontId="0" fillId="13" borderId="2" xfId="0" applyFill="1" applyBorder="1"/>
    <xf numFmtId="0" fontId="16" fillId="12" borderId="17" xfId="0" applyFont="1" applyFill="1" applyBorder="1" applyAlignment="1">
      <alignment horizontal="left" vertical="center" indent="1"/>
    </xf>
    <xf numFmtId="0" fontId="0" fillId="12" borderId="18" xfId="0" applyFont="1" applyFill="1" applyBorder="1"/>
    <xf numFmtId="0" fontId="0" fillId="12" borderId="19" xfId="0" applyFont="1" applyFill="1" applyBorder="1"/>
    <xf numFmtId="3" fontId="11" fillId="9" borderId="2" xfId="0" applyNumberFormat="1" applyFont="1" applyFill="1" applyBorder="1" applyAlignment="1">
      <alignment horizontal="center" vertical="center"/>
    </xf>
    <xf numFmtId="3" fontId="11" fillId="9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Pérdidas por Turno: Equipo, Programada y Vacío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Ejecutivo'!$D$8</c:f>
              <c:strCache>
                <c:ptCount val="1"/>
                <c:pt idx="0">
                  <c:v>Min. Equipo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Ejecutivo'!$B$9:$B$11</c:f>
              <c:strCache>
                <c:ptCount val="3"/>
                <c:pt idx="0">
                  <c:v>Mañana</c:v>
                </c:pt>
                <c:pt idx="1">
                  <c:v>Tarde</c:v>
                </c:pt>
                <c:pt idx="2">
                  <c:v>Noche</c:v>
                </c:pt>
              </c:strCache>
            </c:strRef>
          </c:cat>
          <c:val>
            <c:numRef>
              <c:f>'Dashboard Ejecutivo'!$D$9:$D$11</c:f>
              <c:numCache>
                <c:formatCode>#,##0\ "min"</c:formatCode>
                <c:ptCount val="3"/>
                <c:pt idx="0">
                  <c:v>35</c:v>
                </c:pt>
                <c:pt idx="1">
                  <c:v>35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F-4B66-96FE-5F0CD417FF4C}"/>
            </c:ext>
          </c:extLst>
        </c:ser>
        <c:ser>
          <c:idx val="1"/>
          <c:order val="1"/>
          <c:tx>
            <c:strRef>
              <c:f>'Dashboard Ejecutivo'!$E$8</c:f>
              <c:strCache>
                <c:ptCount val="1"/>
                <c:pt idx="0">
                  <c:v>Min. Prog.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Ejecutivo'!$B$9:$B$11</c:f>
              <c:strCache>
                <c:ptCount val="3"/>
                <c:pt idx="0">
                  <c:v>Mañana</c:v>
                </c:pt>
                <c:pt idx="1">
                  <c:v>Tarde</c:v>
                </c:pt>
                <c:pt idx="2">
                  <c:v>Noche</c:v>
                </c:pt>
              </c:strCache>
            </c:strRef>
          </c:cat>
          <c:val>
            <c:numRef>
              <c:f>'Dashboard Ejecutivo'!$E$9:$E$11</c:f>
              <c:numCache>
                <c:formatCode>#,##0\ "min"</c:formatCode>
                <c:ptCount val="3"/>
                <c:pt idx="0">
                  <c:v>30</c:v>
                </c:pt>
                <c:pt idx="1">
                  <c:v>25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FF-4B66-96FE-5F0CD417FF4C}"/>
            </c:ext>
          </c:extLst>
        </c:ser>
        <c:ser>
          <c:idx val="2"/>
          <c:order val="2"/>
          <c:tx>
            <c:strRef>
              <c:f>'Dashboard Ejecutivo'!$F$8</c:f>
              <c:strCache>
                <c:ptCount val="1"/>
                <c:pt idx="0">
                  <c:v>Vacío Horno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Ejecutivo'!$B$9:$B$11</c:f>
              <c:strCache>
                <c:ptCount val="3"/>
                <c:pt idx="0">
                  <c:v>Mañana</c:v>
                </c:pt>
                <c:pt idx="1">
                  <c:v>Tarde</c:v>
                </c:pt>
                <c:pt idx="2">
                  <c:v>Noche</c:v>
                </c:pt>
              </c:strCache>
            </c:strRef>
          </c:cat>
          <c:val>
            <c:numRef>
              <c:f>'Dashboard Ejecutivo'!$F$9:$F$11</c:f>
              <c:numCache>
                <c:formatCode>#,##0\ "min"</c:formatCode>
                <c:ptCount val="3"/>
                <c:pt idx="0">
                  <c:v>40</c:v>
                </c:pt>
                <c:pt idx="1">
                  <c:v>40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FF-4B66-96FE-5F0CD417FF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in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Ranking de Códigos con Mayor Pérdida (Min)</a:t>
            </a:r>
          </a:p>
        </c:rich>
      </c:tx>
      <c:layout>
        <c:manualLayout>
          <c:xMode val="edge"/>
          <c:yMode val="edge"/>
          <c:x val="0.1079882174491502"/>
          <c:y val="2.2222222222222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Ejecutivo'!$D$15</c:f>
              <c:strCache>
                <c:ptCount val="1"/>
                <c:pt idx="0">
                  <c:v>Minutos Totales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Ejecutivo'!$B$16:$B$22</c:f>
              <c:strCache>
                <c:ptCount val="7"/>
                <c:pt idx="0">
                  <c:v>PRE 101</c:v>
                </c:pt>
                <c:pt idx="1">
                  <c:v>ESM 403</c:v>
                </c:pt>
                <c:pt idx="2">
                  <c:v>HOR 301</c:v>
                </c:pt>
                <c:pt idx="3">
                  <c:v>PRE 201</c:v>
                </c:pt>
                <c:pt idx="4">
                  <c:v>MEC 105</c:v>
                </c:pt>
                <c:pt idx="5">
                  <c:v>ELE 106</c:v>
                </c:pt>
                <c:pt idx="6">
                  <c:v>LIN 501</c:v>
                </c:pt>
              </c:strCache>
            </c:strRef>
          </c:cat>
          <c:val>
            <c:numRef>
              <c:f>'Dashboard Ejecutivo'!$D$16:$D$22</c:f>
              <c:numCache>
                <c:formatCode>#,##0\ "min"</c:formatCode>
                <c:ptCount val="7"/>
                <c:pt idx="0">
                  <c:v>45</c:v>
                </c:pt>
                <c:pt idx="1">
                  <c:v>39</c:v>
                </c:pt>
                <c:pt idx="2">
                  <c:v>25</c:v>
                </c:pt>
                <c:pt idx="3">
                  <c:v>35</c:v>
                </c:pt>
                <c:pt idx="4">
                  <c:v>85</c:v>
                </c:pt>
                <c:pt idx="5">
                  <c:v>20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4-4982-8B07-994623747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min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19050</xdr:colOff>
      <xdr:row>7</xdr:row>
      <xdr:rowOff>9525</xdr:rowOff>
    </xdr:from>
    <xdr:ext cx="5429250" cy="2838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28574</xdr:colOff>
      <xdr:row>16</xdr:row>
      <xdr:rowOff>171450</xdr:rowOff>
    </xdr:from>
    <xdr:ext cx="5457826" cy="3429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7" sqref="A7"/>
    </sheetView>
  </sheetViews>
  <sheetFormatPr baseColWidth="10" defaultColWidth="9.140625" defaultRowHeight="15" x14ac:dyDescent="0.25"/>
  <cols>
    <col min="1" max="1" width="15" customWidth="1"/>
    <col min="2" max="2" width="45" customWidth="1"/>
  </cols>
  <sheetData>
    <row r="1" spans="1:2" ht="24.95" customHeight="1" x14ac:dyDescent="0.25">
      <c r="A1" s="11" t="s">
        <v>0</v>
      </c>
      <c r="B1" s="12"/>
    </row>
    <row r="2" spans="1:2" x14ac:dyDescent="0.25">
      <c r="A2" s="1" t="s">
        <v>1</v>
      </c>
      <c r="B2" s="1" t="s">
        <v>2</v>
      </c>
    </row>
    <row r="3" spans="1:2" ht="18.95" customHeight="1" x14ac:dyDescent="0.25">
      <c r="A3" s="2" t="s">
        <v>3</v>
      </c>
      <c r="B3" s="3" t="s">
        <v>4</v>
      </c>
    </row>
    <row r="4" spans="1:2" ht="18.95" customHeight="1" x14ac:dyDescent="0.25">
      <c r="A4" s="2" t="s">
        <v>5</v>
      </c>
      <c r="B4" s="3" t="s">
        <v>6</v>
      </c>
    </row>
    <row r="5" spans="1:2" ht="18.95" customHeight="1" x14ac:dyDescent="0.25">
      <c r="A5" s="2" t="s">
        <v>7</v>
      </c>
      <c r="B5" s="3" t="s">
        <v>8</v>
      </c>
    </row>
    <row r="6" spans="1:2" ht="18.95" customHeight="1" x14ac:dyDescent="0.25">
      <c r="A6" s="2" t="s">
        <v>9</v>
      </c>
      <c r="B6" s="3" t="s">
        <v>10</v>
      </c>
    </row>
    <row r="7" spans="1:2" ht="18.95" customHeight="1" x14ac:dyDescent="0.25">
      <c r="A7" s="2" t="s">
        <v>11</v>
      </c>
      <c r="B7" s="3" t="s">
        <v>12</v>
      </c>
    </row>
    <row r="8" spans="1:2" ht="18.95" customHeight="1" x14ac:dyDescent="0.25">
      <c r="A8" s="2" t="s">
        <v>13</v>
      </c>
      <c r="B8" s="3" t="s">
        <v>14</v>
      </c>
    </row>
    <row r="9" spans="1:2" ht="18.95" customHeight="1" x14ac:dyDescent="0.25">
      <c r="A9" s="2" t="s">
        <v>15</v>
      </c>
      <c r="B9" s="3" t="s">
        <v>16</v>
      </c>
    </row>
    <row r="10" spans="1:2" ht="18.95" customHeight="1" x14ac:dyDescent="0.25">
      <c r="A10" s="2" t="s">
        <v>17</v>
      </c>
      <c r="B10" s="3" t="s">
        <v>18</v>
      </c>
    </row>
    <row r="11" spans="1:2" ht="18.95" customHeight="1" x14ac:dyDescent="0.25">
      <c r="A11" s="2" t="s">
        <v>19</v>
      </c>
      <c r="B11" s="3" t="s">
        <v>20</v>
      </c>
    </row>
    <row r="12" spans="1:2" ht="18.95" customHeight="1" x14ac:dyDescent="0.25">
      <c r="A12" s="2" t="s">
        <v>21</v>
      </c>
      <c r="B12" s="3" t="s">
        <v>22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61"/>
  <sheetViews>
    <sheetView tabSelected="1" topLeftCell="A7" workbookViewId="0">
      <selection activeCell="E46" sqref="E46"/>
    </sheetView>
  </sheetViews>
  <sheetFormatPr baseColWidth="10" defaultColWidth="9.140625" defaultRowHeight="15" x14ac:dyDescent="0.25"/>
  <cols>
    <col min="1" max="1" width="5" customWidth="1"/>
    <col min="2" max="2" width="20.5703125" customWidth="1"/>
    <col min="3" max="3" width="26" customWidth="1"/>
    <col min="4" max="4" width="28.140625" customWidth="1"/>
    <col min="5" max="5" width="20" customWidth="1"/>
    <col min="6" max="6" width="16" customWidth="1"/>
    <col min="7" max="7" width="28" customWidth="1"/>
  </cols>
  <sheetData>
    <row r="2" spans="2:11" ht="24" customHeight="1" x14ac:dyDescent="0.25">
      <c r="B2" s="41" t="s">
        <v>23</v>
      </c>
      <c r="C2" s="42"/>
      <c r="D2" s="42"/>
      <c r="E2" s="42"/>
      <c r="F2" s="42"/>
      <c r="G2" s="43"/>
    </row>
    <row r="3" spans="2:11" ht="26.1" customHeight="1" x14ac:dyDescent="0.25">
      <c r="B3" s="44" t="s">
        <v>1</v>
      </c>
      <c r="C3" s="45" t="s">
        <v>24</v>
      </c>
      <c r="D3" s="45" t="s">
        <v>25</v>
      </c>
      <c r="E3" s="45" t="s">
        <v>26</v>
      </c>
      <c r="F3" s="46" t="s">
        <v>27</v>
      </c>
      <c r="G3" s="47"/>
    </row>
    <row r="4" spans="2:11" ht="20.100000000000001" customHeight="1" x14ac:dyDescent="0.25">
      <c r="B4" s="52" t="s">
        <v>7</v>
      </c>
      <c r="C4" s="53">
        <v>35</v>
      </c>
      <c r="D4" s="53"/>
      <c r="E4" s="53">
        <v>10</v>
      </c>
      <c r="F4" s="54" t="s">
        <v>28</v>
      </c>
      <c r="G4" s="54"/>
    </row>
    <row r="5" spans="2:11" ht="20.100000000000001" customHeight="1" x14ac:dyDescent="0.25">
      <c r="B5" s="52" t="s">
        <v>13</v>
      </c>
      <c r="C5" s="53"/>
      <c r="D5" s="53"/>
      <c r="E5" s="53">
        <v>25</v>
      </c>
      <c r="F5" s="54" t="s">
        <v>29</v>
      </c>
      <c r="G5" s="54"/>
    </row>
    <row r="6" spans="2:11" ht="20.100000000000001" customHeight="1" x14ac:dyDescent="0.25">
      <c r="B6" s="52" t="s">
        <v>11</v>
      </c>
      <c r="C6" s="53"/>
      <c r="D6" s="53">
        <v>30</v>
      </c>
      <c r="E6" s="53">
        <v>5</v>
      </c>
      <c r="F6" s="54" t="s">
        <v>30</v>
      </c>
      <c r="G6" s="54"/>
    </row>
    <row r="7" spans="2:11" ht="20.100000000000001" customHeight="1" x14ac:dyDescent="0.25">
      <c r="B7" s="52"/>
      <c r="C7" s="53"/>
      <c r="D7" s="53"/>
      <c r="E7" s="53"/>
      <c r="F7" s="54"/>
      <c r="G7" s="54"/>
    </row>
    <row r="8" spans="2:11" ht="20.100000000000001" customHeight="1" x14ac:dyDescent="0.25">
      <c r="B8" s="52"/>
      <c r="C8" s="53"/>
      <c r="D8" s="53"/>
      <c r="E8" s="53"/>
      <c r="F8" s="54"/>
      <c r="G8" s="54"/>
    </row>
    <row r="9" spans="2:11" ht="20.100000000000001" customHeight="1" x14ac:dyDescent="0.25">
      <c r="B9" s="52"/>
      <c r="C9" s="53"/>
      <c r="D9" s="53"/>
      <c r="E9" s="53"/>
      <c r="F9" s="54"/>
      <c r="G9" s="54"/>
      <c r="K9" s="28"/>
    </row>
    <row r="10" spans="2:11" ht="20.100000000000001" customHeight="1" x14ac:dyDescent="0.25">
      <c r="B10" s="52"/>
      <c r="C10" s="53"/>
      <c r="D10" s="53"/>
      <c r="E10" s="53"/>
      <c r="F10" s="54"/>
      <c r="G10" s="54"/>
    </row>
    <row r="11" spans="2:11" ht="23.1" customHeight="1" x14ac:dyDescent="0.25">
      <c r="B11" s="81" t="s">
        <v>96</v>
      </c>
      <c r="C11" s="82">
        <f>SUM(C4:C10)</f>
        <v>35</v>
      </c>
      <c r="D11" s="82">
        <f>SUM(D4:D10)</f>
        <v>30</v>
      </c>
      <c r="E11" s="82">
        <f>SUM(E4:E10)</f>
        <v>40</v>
      </c>
      <c r="F11" s="120" t="str">
        <f xml:space="preserve"> "Total Pérdida: " &amp; TEXT(ROUND(SUM(C11:E11), 0), "0") &amp; " min | Disponibilidad: " &amp; TEXT((480-SUM(C11:E11))/480, "0.0%")</f>
        <v>Total Pérdida: 105 min | Disponibilidad: 78%</v>
      </c>
      <c r="G11" s="121"/>
    </row>
    <row r="12" spans="2:11" x14ac:dyDescent="0.25">
      <c r="H12" s="28"/>
      <c r="I12" s="28"/>
    </row>
    <row r="13" spans="2:11" ht="20.100000000000001" customHeight="1" x14ac:dyDescent="0.25">
      <c r="B13" s="114" t="s">
        <v>31</v>
      </c>
      <c r="C13" s="24"/>
      <c r="D13" s="24"/>
      <c r="E13" s="24"/>
      <c r="F13" s="24"/>
      <c r="G13" s="24"/>
    </row>
    <row r="14" spans="2:11" ht="20.100000000000001" customHeight="1" x14ac:dyDescent="0.25">
      <c r="B14" s="51" t="s">
        <v>32</v>
      </c>
      <c r="C14" s="51" t="s">
        <v>33</v>
      </c>
      <c r="D14" s="51" t="s">
        <v>34</v>
      </c>
      <c r="E14" s="51" t="s">
        <v>35</v>
      </c>
      <c r="F14" s="51" t="s">
        <v>36</v>
      </c>
      <c r="G14" s="51" t="s">
        <v>37</v>
      </c>
    </row>
    <row r="15" spans="2:11" ht="18.95" customHeight="1" x14ac:dyDescent="0.25">
      <c r="B15" s="29" t="s">
        <v>38</v>
      </c>
      <c r="C15" s="30" t="s">
        <v>39</v>
      </c>
      <c r="D15" s="30" t="s">
        <v>40</v>
      </c>
      <c r="E15" s="29" t="s">
        <v>41</v>
      </c>
      <c r="F15" s="29" t="s">
        <v>92</v>
      </c>
      <c r="G15" s="29" t="s">
        <v>43</v>
      </c>
    </row>
    <row r="16" spans="2:11" ht="18.95" customHeight="1" x14ac:dyDescent="0.25">
      <c r="B16" s="31"/>
      <c r="C16" s="32"/>
      <c r="D16" s="32"/>
      <c r="E16" s="31"/>
      <c r="F16" s="31"/>
      <c r="G16" s="31"/>
    </row>
    <row r="17" spans="1:8" ht="18.95" customHeight="1" x14ac:dyDescent="0.25">
      <c r="B17" s="33"/>
      <c r="C17" s="34"/>
      <c r="D17" s="34"/>
      <c r="E17" s="33"/>
      <c r="F17" s="35"/>
      <c r="G17" s="33"/>
    </row>
    <row r="18" spans="1:8" ht="18.95" customHeight="1" x14ac:dyDescent="0.25">
      <c r="B18" s="33"/>
      <c r="C18" s="34"/>
      <c r="D18" s="34"/>
      <c r="E18" s="33"/>
      <c r="F18" s="36"/>
      <c r="G18" s="33"/>
    </row>
    <row r="19" spans="1:8" ht="18.95" customHeight="1" x14ac:dyDescent="0.25">
      <c r="B19" s="35"/>
      <c r="C19" s="37"/>
      <c r="D19" s="37"/>
      <c r="E19" s="35"/>
      <c r="F19" s="38"/>
      <c r="G19" s="37"/>
    </row>
    <row r="20" spans="1:8" ht="18.95" customHeight="1" x14ac:dyDescent="0.25">
      <c r="B20" s="35"/>
      <c r="C20" s="37"/>
      <c r="D20" s="37"/>
      <c r="E20" s="35"/>
      <c r="F20" s="35"/>
      <c r="G20" s="37"/>
    </row>
    <row r="21" spans="1:8" ht="18.95" customHeight="1" x14ac:dyDescent="0.25">
      <c r="B21" s="48"/>
      <c r="C21" s="49"/>
      <c r="D21" s="50"/>
      <c r="E21" s="48"/>
      <c r="F21" s="48"/>
      <c r="G21" s="50"/>
    </row>
    <row r="22" spans="1:8" x14ac:dyDescent="0.25">
      <c r="C22" s="28"/>
    </row>
    <row r="23" spans="1:8" ht="24" customHeight="1" x14ac:dyDescent="0.25">
      <c r="A23" s="39"/>
      <c r="B23" s="57" t="s">
        <v>44</v>
      </c>
      <c r="C23" s="58"/>
      <c r="D23" s="58"/>
      <c r="E23" s="58"/>
      <c r="F23" s="58"/>
      <c r="G23" s="58"/>
      <c r="H23" s="40"/>
    </row>
    <row r="24" spans="1:8" ht="26.1" customHeight="1" x14ac:dyDescent="0.25">
      <c r="A24" s="39"/>
      <c r="B24" s="60" t="s">
        <v>1</v>
      </c>
      <c r="C24" s="59" t="s">
        <v>24</v>
      </c>
      <c r="D24" s="61" t="s">
        <v>25</v>
      </c>
      <c r="E24" s="59" t="s">
        <v>26</v>
      </c>
      <c r="F24" s="62" t="s">
        <v>27</v>
      </c>
      <c r="G24" s="63"/>
      <c r="H24" s="40"/>
    </row>
    <row r="25" spans="1:8" ht="20.100000000000001" customHeight="1" x14ac:dyDescent="0.25">
      <c r="B25" s="18" t="s">
        <v>19</v>
      </c>
      <c r="C25" s="25">
        <v>15</v>
      </c>
      <c r="D25" s="25"/>
      <c r="E25" s="25">
        <v>5</v>
      </c>
      <c r="F25" s="26" t="s">
        <v>45</v>
      </c>
      <c r="G25" s="27"/>
    </row>
    <row r="26" spans="1:8" ht="20.100000000000001" customHeight="1" x14ac:dyDescent="0.25">
      <c r="B26" s="18" t="s">
        <v>5</v>
      </c>
      <c r="C26" s="25"/>
      <c r="D26" s="25">
        <v>15</v>
      </c>
      <c r="E26" s="25">
        <v>10</v>
      </c>
      <c r="F26" s="26" t="s">
        <v>46</v>
      </c>
      <c r="G26" s="27"/>
    </row>
    <row r="27" spans="1:8" ht="20.100000000000001" customHeight="1" x14ac:dyDescent="0.25">
      <c r="B27" s="18" t="s">
        <v>9</v>
      </c>
      <c r="C27" s="25">
        <v>20</v>
      </c>
      <c r="D27" s="25"/>
      <c r="E27" s="25">
        <v>5</v>
      </c>
      <c r="F27" s="26" t="s">
        <v>47</v>
      </c>
      <c r="G27" s="27"/>
    </row>
    <row r="28" spans="1:8" ht="20.100000000000001" customHeight="1" x14ac:dyDescent="0.25">
      <c r="B28" s="18"/>
      <c r="C28" s="25"/>
      <c r="D28" s="25">
        <v>10</v>
      </c>
      <c r="E28" s="25">
        <v>20</v>
      </c>
      <c r="F28" s="26"/>
      <c r="G28" s="27"/>
    </row>
    <row r="29" spans="1:8" ht="20.100000000000001" customHeight="1" x14ac:dyDescent="0.25">
      <c r="B29" s="18"/>
      <c r="C29" s="25"/>
      <c r="D29" s="25"/>
      <c r="E29" s="25"/>
      <c r="F29" s="26"/>
      <c r="G29" s="27"/>
    </row>
    <row r="30" spans="1:8" ht="20.100000000000001" customHeight="1" x14ac:dyDescent="0.25">
      <c r="B30" s="18"/>
      <c r="C30" s="25"/>
      <c r="D30" s="25"/>
      <c r="E30" s="25"/>
      <c r="F30" s="26"/>
      <c r="G30" s="27"/>
    </row>
    <row r="31" spans="1:8" ht="20.100000000000001" customHeight="1" x14ac:dyDescent="0.25">
      <c r="B31" s="18"/>
      <c r="C31" s="25"/>
      <c r="D31" s="25"/>
      <c r="E31" s="25"/>
      <c r="F31" s="26"/>
      <c r="G31" s="27"/>
    </row>
    <row r="32" spans="1:8" ht="23.1" customHeight="1" x14ac:dyDescent="0.25">
      <c r="B32" s="74" t="s">
        <v>48</v>
      </c>
      <c r="C32" s="75">
        <f>SUM(C25:C31)</f>
        <v>35</v>
      </c>
      <c r="D32" s="75">
        <f>SUM(D25:D31)</f>
        <v>25</v>
      </c>
      <c r="E32" s="75">
        <f>SUM(E25:E31)</f>
        <v>40</v>
      </c>
      <c r="F32" s="76" t="str">
        <f xml:space="preserve"> "Total Pérdida: " &amp; TEXT(ROUND(SUM(C32:E32), 0), "0") &amp; " min | Disponibilidad: " &amp; TEXT((480-SUM(C32:E32))/480, "0.0%")</f>
        <v>Total Pérdida: 100 min | Disponibilidad: 79%</v>
      </c>
      <c r="G32" s="77"/>
      <c r="H32" s="28"/>
    </row>
    <row r="33" spans="2:7" x14ac:dyDescent="0.25">
      <c r="B33" s="28"/>
      <c r="C33" s="28"/>
      <c r="D33" s="28"/>
    </row>
    <row r="34" spans="2:7" ht="20.100000000000001" customHeight="1" x14ac:dyDescent="0.25">
      <c r="B34" s="115" t="s">
        <v>49</v>
      </c>
      <c r="C34" s="116"/>
      <c r="D34" s="116"/>
      <c r="E34" s="116"/>
      <c r="F34" s="116"/>
      <c r="G34" s="116"/>
    </row>
    <row r="35" spans="2:7" ht="20.100000000000001" customHeight="1" x14ac:dyDescent="0.25">
      <c r="B35" s="64" t="s">
        <v>32</v>
      </c>
      <c r="C35" s="64" t="s">
        <v>33</v>
      </c>
      <c r="D35" s="64" t="s">
        <v>34</v>
      </c>
      <c r="E35" s="64" t="s">
        <v>35</v>
      </c>
      <c r="F35" s="64" t="s">
        <v>36</v>
      </c>
      <c r="G35" s="64" t="s">
        <v>37</v>
      </c>
    </row>
    <row r="36" spans="2:7" ht="18.95" customHeight="1" x14ac:dyDescent="0.25">
      <c r="B36" s="18" t="s">
        <v>50</v>
      </c>
      <c r="C36" s="19" t="s">
        <v>51</v>
      </c>
      <c r="D36" s="19" t="s">
        <v>52</v>
      </c>
      <c r="E36" s="18" t="s">
        <v>53</v>
      </c>
      <c r="F36" s="20" t="s">
        <v>42</v>
      </c>
      <c r="G36" s="19" t="s">
        <v>54</v>
      </c>
    </row>
    <row r="37" spans="2:7" ht="18.95" customHeight="1" x14ac:dyDescent="0.25">
      <c r="B37" s="18"/>
      <c r="C37" s="19"/>
      <c r="D37" s="19"/>
      <c r="E37" s="18"/>
      <c r="F37" s="18"/>
      <c r="G37" s="19"/>
    </row>
    <row r="38" spans="2:7" ht="18.95" customHeight="1" x14ac:dyDescent="0.25">
      <c r="B38" s="18"/>
      <c r="C38" s="19"/>
      <c r="D38" s="19"/>
      <c r="E38" s="18"/>
      <c r="F38" s="18"/>
      <c r="G38" s="19"/>
    </row>
    <row r="39" spans="2:7" ht="18.95" customHeight="1" x14ac:dyDescent="0.25">
      <c r="B39" s="18"/>
      <c r="C39" s="19"/>
      <c r="D39" s="19"/>
      <c r="E39" s="18"/>
      <c r="F39" s="18"/>
      <c r="G39" s="19"/>
    </row>
    <row r="41" spans="2:7" ht="24" customHeight="1" x14ac:dyDescent="0.25">
      <c r="B41" s="84" t="s">
        <v>55</v>
      </c>
      <c r="C41" s="85"/>
      <c r="D41" s="85"/>
      <c r="E41" s="85"/>
      <c r="F41" s="85"/>
      <c r="G41" s="85"/>
    </row>
    <row r="42" spans="2:7" ht="26.1" customHeight="1" x14ac:dyDescent="0.25">
      <c r="B42" s="65" t="s">
        <v>1</v>
      </c>
      <c r="C42" s="66" t="s">
        <v>24</v>
      </c>
      <c r="D42" s="66" t="s">
        <v>25</v>
      </c>
      <c r="E42" s="66" t="s">
        <v>26</v>
      </c>
      <c r="F42" s="67" t="s">
        <v>27</v>
      </c>
      <c r="G42" s="68"/>
    </row>
    <row r="43" spans="2:7" ht="20.100000000000001" customHeight="1" x14ac:dyDescent="0.25">
      <c r="B43" s="18" t="s">
        <v>3</v>
      </c>
      <c r="C43" s="25">
        <v>2</v>
      </c>
      <c r="D43" s="25"/>
      <c r="E43" s="25">
        <v>3</v>
      </c>
      <c r="F43" s="26" t="s">
        <v>4</v>
      </c>
      <c r="G43" s="27"/>
    </row>
    <row r="44" spans="2:7" ht="20.100000000000001" customHeight="1" x14ac:dyDescent="0.25">
      <c r="B44" s="18" t="s">
        <v>5</v>
      </c>
      <c r="C44" s="25"/>
      <c r="D44" s="25">
        <v>10</v>
      </c>
      <c r="E44" s="25">
        <v>4</v>
      </c>
      <c r="F44" s="26" t="s">
        <v>56</v>
      </c>
      <c r="G44" s="27"/>
    </row>
    <row r="45" spans="2:7" ht="20.100000000000001" customHeight="1" x14ac:dyDescent="0.25">
      <c r="B45" s="18" t="s">
        <v>17</v>
      </c>
      <c r="C45" s="25">
        <v>25</v>
      </c>
      <c r="D45" s="25"/>
      <c r="E45" s="25">
        <v>60</v>
      </c>
      <c r="F45" s="26" t="s">
        <v>57</v>
      </c>
      <c r="G45" s="27"/>
    </row>
    <row r="46" spans="2:7" ht="20.100000000000001" customHeight="1" x14ac:dyDescent="0.25">
      <c r="B46" s="18"/>
      <c r="C46" s="25"/>
      <c r="D46" s="25"/>
      <c r="E46" s="25"/>
      <c r="F46" s="26"/>
      <c r="G46" s="27"/>
    </row>
    <row r="47" spans="2:7" ht="20.100000000000001" customHeight="1" x14ac:dyDescent="0.25">
      <c r="B47" s="18"/>
      <c r="C47" s="25"/>
      <c r="D47" s="25"/>
      <c r="E47" s="25"/>
      <c r="F47" s="26"/>
      <c r="G47" s="27"/>
    </row>
    <row r="48" spans="2:7" ht="20.100000000000001" customHeight="1" x14ac:dyDescent="0.25">
      <c r="B48" s="18"/>
      <c r="C48" s="25"/>
      <c r="D48" s="25"/>
      <c r="E48" s="25"/>
      <c r="F48" s="26"/>
      <c r="G48" s="27"/>
    </row>
    <row r="49" spans="2:8" ht="20.100000000000001" customHeight="1" x14ac:dyDescent="0.25">
      <c r="B49" s="18"/>
      <c r="C49" s="25"/>
      <c r="D49" s="25"/>
      <c r="E49" s="25"/>
      <c r="F49" s="26"/>
      <c r="G49" s="27"/>
    </row>
    <row r="50" spans="2:8" ht="23.1" customHeight="1" x14ac:dyDescent="0.25">
      <c r="B50" s="83" t="s">
        <v>58</v>
      </c>
      <c r="C50" s="78">
        <f>SUM(C43:C49)</f>
        <v>27</v>
      </c>
      <c r="D50" s="78">
        <f>SUM(D43:D49)</f>
        <v>10</v>
      </c>
      <c r="E50" s="78">
        <f>SUM(E43:E49)</f>
        <v>67</v>
      </c>
      <c r="F50" s="79" t="str">
        <f xml:space="preserve"> "Total Pérdida: " &amp; TEXT(ROUND(SUM(C50:E50), 0), "0") &amp; " min | Disponibilidad: " &amp; TEXT((480-SUM(C50:E50))/480, "0.0%")</f>
        <v>Total Pérdida: 104 min | Disponibilidad: 78%</v>
      </c>
      <c r="G50" s="80"/>
    </row>
    <row r="51" spans="2:8" x14ac:dyDescent="0.25">
      <c r="B51" s="28"/>
      <c r="C51" s="28"/>
      <c r="D51" s="28"/>
      <c r="E51" s="28"/>
    </row>
    <row r="52" spans="2:8" ht="20.100000000000001" customHeight="1" x14ac:dyDescent="0.25">
      <c r="B52" s="117" t="s">
        <v>59</v>
      </c>
      <c r="C52" s="118"/>
      <c r="D52" s="118"/>
      <c r="E52" s="118"/>
      <c r="F52" s="118"/>
      <c r="G52" s="119"/>
      <c r="H52" s="28"/>
    </row>
    <row r="53" spans="2:8" ht="20.100000000000001" customHeight="1" x14ac:dyDescent="0.25">
      <c r="B53" s="69" t="s">
        <v>32</v>
      </c>
      <c r="C53" s="70" t="s">
        <v>33</v>
      </c>
      <c r="D53" s="71" t="s">
        <v>34</v>
      </c>
      <c r="E53" s="72" t="s">
        <v>35</v>
      </c>
      <c r="F53" s="73" t="s">
        <v>36</v>
      </c>
      <c r="G53" s="72" t="s">
        <v>37</v>
      </c>
      <c r="H53" s="28"/>
    </row>
    <row r="54" spans="2:8" ht="18.95" customHeight="1" x14ac:dyDescent="0.25">
      <c r="B54" s="18" t="s">
        <v>60</v>
      </c>
      <c r="C54" s="19" t="s">
        <v>61</v>
      </c>
      <c r="D54" s="21" t="s">
        <v>62</v>
      </c>
      <c r="E54" s="18" t="s">
        <v>53</v>
      </c>
      <c r="F54" s="20" t="s">
        <v>42</v>
      </c>
      <c r="G54" s="19" t="s">
        <v>63</v>
      </c>
    </row>
    <row r="55" spans="2:8" ht="18.95" customHeight="1" x14ac:dyDescent="0.25">
      <c r="B55" s="18"/>
      <c r="C55" s="19"/>
      <c r="D55" s="22"/>
      <c r="E55" s="18"/>
      <c r="F55" s="18"/>
      <c r="G55" s="19"/>
    </row>
    <row r="56" spans="2:8" ht="18.95" customHeight="1" x14ac:dyDescent="0.25">
      <c r="B56" s="18"/>
      <c r="C56" s="19"/>
      <c r="D56" s="19"/>
      <c r="E56" s="18"/>
      <c r="F56" s="18"/>
      <c r="G56" s="19"/>
    </row>
    <row r="57" spans="2:8" ht="18.95" customHeight="1" x14ac:dyDescent="0.25">
      <c r="B57" s="18"/>
      <c r="C57" s="19"/>
      <c r="D57" s="19"/>
      <c r="E57" s="18"/>
      <c r="F57" s="18"/>
      <c r="G57" s="19"/>
    </row>
    <row r="58" spans="2:8" x14ac:dyDescent="0.25">
      <c r="B58" s="23"/>
      <c r="C58" s="23"/>
      <c r="D58" s="23"/>
      <c r="E58" s="23"/>
      <c r="F58" s="23"/>
      <c r="G58" s="23"/>
    </row>
    <row r="59" spans="2:8" x14ac:dyDescent="0.25">
      <c r="B59" s="23"/>
      <c r="C59" s="23"/>
      <c r="D59" s="23"/>
      <c r="E59" s="23"/>
      <c r="F59" s="23"/>
      <c r="G59" s="23"/>
    </row>
    <row r="60" spans="2:8" x14ac:dyDescent="0.25">
      <c r="B60" s="23"/>
      <c r="C60" s="23"/>
      <c r="D60" s="23"/>
      <c r="E60" s="23"/>
      <c r="F60" s="23"/>
      <c r="G60" s="23"/>
    </row>
    <row r="61" spans="2:8" x14ac:dyDescent="0.25">
      <c r="B61" s="23"/>
      <c r="C61" s="23"/>
      <c r="D61" s="23"/>
      <c r="E61" s="23"/>
      <c r="F61" s="23"/>
      <c r="G61" s="23"/>
    </row>
  </sheetData>
  <dataConsolidate/>
  <mergeCells count="40">
    <mergeCell ref="D54:D55"/>
    <mergeCell ref="B52:G52"/>
    <mergeCell ref="F7:G7"/>
    <mergeCell ref="F28:G28"/>
    <mergeCell ref="F44:G44"/>
    <mergeCell ref="F25:G25"/>
    <mergeCell ref="F24:G24"/>
    <mergeCell ref="D15:D16"/>
    <mergeCell ref="E15:E16"/>
    <mergeCell ref="F15:F16"/>
    <mergeCell ref="G15:G16"/>
    <mergeCell ref="C15:C16"/>
    <mergeCell ref="B15:B16"/>
    <mergeCell ref="F50:G50"/>
    <mergeCell ref="F6:G6"/>
    <mergeCell ref="B13:G13"/>
    <mergeCell ref="F49:G49"/>
    <mergeCell ref="F11:G11"/>
    <mergeCell ref="F30:G30"/>
    <mergeCell ref="B34:G34"/>
    <mergeCell ref="F48:G48"/>
    <mergeCell ref="F29:G29"/>
    <mergeCell ref="F47:G47"/>
    <mergeCell ref="B2:G2"/>
    <mergeCell ref="F4:G4"/>
    <mergeCell ref="F32:G32"/>
    <mergeCell ref="F10:G10"/>
    <mergeCell ref="F31:G31"/>
    <mergeCell ref="B23:G23"/>
    <mergeCell ref="F43:G43"/>
    <mergeCell ref="F9:G9"/>
    <mergeCell ref="B41:G41"/>
    <mergeCell ref="F3:G3"/>
    <mergeCell ref="F46:G46"/>
    <mergeCell ref="F27:G27"/>
    <mergeCell ref="F5:G5"/>
    <mergeCell ref="F26:G26"/>
    <mergeCell ref="F45:G45"/>
    <mergeCell ref="F42:G42"/>
    <mergeCell ref="F8:G8"/>
  </mergeCells>
  <dataValidations count="1">
    <dataValidation type="custom" allowBlank="1" sqref="F54:F57 F36:F39 F19:F21 F15:F17" xr:uid="{00000000-0002-0000-0100-000001000000}">
      <formula1>"Cerrado;En Proceso;Pendiente"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Catálogo!$A$3:$A$12</xm:f>
          </x14:formula1>
          <xm:sqref>B4 B5 B6 B7 B8 B9 B10 B25 B26 B27 B28 B29 B30 B31 B43 B44 B45 B46 B47 B48 B49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2"/>
  <sheetViews>
    <sheetView showGridLines="0" topLeftCell="A4" workbookViewId="0">
      <selection activeCell="H17" sqref="H17"/>
    </sheetView>
  </sheetViews>
  <sheetFormatPr baseColWidth="10" defaultColWidth="9.140625" defaultRowHeight="15" x14ac:dyDescent="0.25"/>
  <cols>
    <col min="1" max="1" width="3" customWidth="1"/>
    <col min="2" max="2" width="12" customWidth="1"/>
    <col min="3" max="3" width="32" customWidth="1"/>
    <col min="4" max="4" width="12" customWidth="1"/>
    <col min="5" max="5" width="15" customWidth="1"/>
    <col min="6" max="6" width="17.7109375" customWidth="1"/>
    <col min="7" max="7" width="12.28515625" customWidth="1"/>
    <col min="8" max="8" width="16" customWidth="1"/>
    <col min="9" max="9" width="10.7109375" customWidth="1"/>
    <col min="10" max="12" width="15" customWidth="1"/>
  </cols>
  <sheetData>
    <row r="1" spans="2:12" ht="32.1" customHeight="1" x14ac:dyDescent="0.25">
      <c r="B1" s="16" t="s">
        <v>64</v>
      </c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2:12" ht="15.75" thickBot="1" x14ac:dyDescent="0.3">
      <c r="B2" s="101"/>
      <c r="C2" s="101"/>
      <c r="E2" s="28"/>
      <c r="K2" s="28"/>
    </row>
    <row r="3" spans="2:12" ht="18" customHeight="1" thickTop="1" x14ac:dyDescent="0.25">
      <c r="B3" s="104" t="s">
        <v>65</v>
      </c>
      <c r="C3" s="105"/>
      <c r="E3" s="102" t="s">
        <v>66</v>
      </c>
      <c r="F3" s="103"/>
      <c r="H3" s="106" t="s">
        <v>67</v>
      </c>
      <c r="I3" s="107"/>
      <c r="K3" s="108" t="s">
        <v>68</v>
      </c>
      <c r="L3" s="109"/>
    </row>
    <row r="4" spans="2:12" ht="27.95" customHeight="1" x14ac:dyDescent="0.25">
      <c r="B4" s="14">
        <f>'Registro Turnos'!C11+'Registro Turnos'!C32+'Registro Turnos'!C50</f>
        <v>97</v>
      </c>
      <c r="C4" s="13"/>
      <c r="E4" s="14">
        <f>'Registro Turnos'!D11+'Registro Turnos'!D32+'Registro Turnos'!D50</f>
        <v>65</v>
      </c>
      <c r="F4" s="13"/>
      <c r="H4" s="14">
        <f>'Registro Turnos'!E11+'Registro Turnos'!E32+'Registro Turnos'!E50</f>
        <v>147</v>
      </c>
      <c r="I4" s="13"/>
      <c r="K4" s="15">
        <f>(1440-(D12+E12+F12))/1440</f>
        <v>0.78541666666666665</v>
      </c>
      <c r="L4" s="13"/>
    </row>
    <row r="5" spans="2:12" ht="18" customHeight="1" x14ac:dyDescent="0.25">
      <c r="B5" s="55" t="s">
        <v>94</v>
      </c>
      <c r="C5" s="56"/>
      <c r="E5" s="55" t="s">
        <v>93</v>
      </c>
      <c r="F5" s="56"/>
      <c r="H5" s="55" t="s">
        <v>95</v>
      </c>
      <c r="I5" s="56"/>
      <c r="K5" s="55" t="s">
        <v>69</v>
      </c>
      <c r="L5" s="56"/>
    </row>
    <row r="7" spans="2:12" ht="20.100000000000001" customHeight="1" x14ac:dyDescent="0.25">
      <c r="B7" s="17" t="s">
        <v>70</v>
      </c>
      <c r="C7" s="12"/>
      <c r="D7" s="12"/>
      <c r="E7" s="12"/>
      <c r="F7" s="12"/>
      <c r="G7" s="12"/>
      <c r="H7" s="12"/>
    </row>
    <row r="8" spans="2:12" ht="30" customHeight="1" x14ac:dyDescent="0.25">
      <c r="B8" s="86" t="s">
        <v>71</v>
      </c>
      <c r="C8" s="87" t="s">
        <v>72</v>
      </c>
      <c r="D8" s="87" t="s">
        <v>73</v>
      </c>
      <c r="E8" s="87" t="s">
        <v>74</v>
      </c>
      <c r="F8" s="87" t="s">
        <v>75</v>
      </c>
      <c r="G8" s="87" t="s">
        <v>76</v>
      </c>
      <c r="H8" s="88" t="s">
        <v>77</v>
      </c>
    </row>
    <row r="9" spans="2:12" ht="30" customHeight="1" x14ac:dyDescent="0.25">
      <c r="B9" s="89" t="s">
        <v>78</v>
      </c>
      <c r="C9" s="90" t="s">
        <v>79</v>
      </c>
      <c r="D9" s="95">
        <f>'Registro Turnos'!C11</f>
        <v>35</v>
      </c>
      <c r="E9" s="95">
        <f>'Registro Turnos'!D11</f>
        <v>30</v>
      </c>
      <c r="F9" s="95">
        <f>'Registro Turnos'!E11</f>
        <v>40</v>
      </c>
      <c r="G9" s="95">
        <f>SUM(D9:F9)</f>
        <v>105</v>
      </c>
      <c r="H9" s="96">
        <f>(480-G9)/480</f>
        <v>0.78125</v>
      </c>
    </row>
    <row r="10" spans="2:12" ht="30" customHeight="1" x14ac:dyDescent="0.25">
      <c r="B10" s="91" t="s">
        <v>80</v>
      </c>
      <c r="C10" s="92" t="s">
        <v>79</v>
      </c>
      <c r="D10" s="97">
        <f>'Registro Turnos'!C32</f>
        <v>35</v>
      </c>
      <c r="E10" s="97">
        <f>'Registro Turnos'!D32</f>
        <v>25</v>
      </c>
      <c r="F10" s="97">
        <f>'Registro Turnos'!E32</f>
        <v>40</v>
      </c>
      <c r="G10" s="97">
        <f>SUM(D10:F10)</f>
        <v>100</v>
      </c>
      <c r="H10" s="98">
        <f>(480-G10)/480</f>
        <v>0.79166666666666663</v>
      </c>
    </row>
    <row r="11" spans="2:12" ht="30" customHeight="1" thickBot="1" x14ac:dyDescent="0.3">
      <c r="B11" s="93" t="s">
        <v>81</v>
      </c>
      <c r="C11" s="94" t="s">
        <v>79</v>
      </c>
      <c r="D11" s="99">
        <f>'Registro Turnos'!C50</f>
        <v>27</v>
      </c>
      <c r="E11" s="99">
        <f>'Registro Turnos'!D50</f>
        <v>10</v>
      </c>
      <c r="F11" s="99">
        <f>'Registro Turnos'!E50</f>
        <v>67</v>
      </c>
      <c r="G11" s="99">
        <f>SUM(D11:F11)</f>
        <v>104</v>
      </c>
      <c r="H11" s="100">
        <f>(480-G11)/480</f>
        <v>0.78333333333333333</v>
      </c>
    </row>
    <row r="12" spans="2:12" ht="30" customHeight="1" x14ac:dyDescent="0.25">
      <c r="B12" s="110" t="s">
        <v>82</v>
      </c>
      <c r="C12" s="111" t="s">
        <v>83</v>
      </c>
      <c r="D12" s="112">
        <f>SUM(D9:D11)</f>
        <v>97</v>
      </c>
      <c r="E12" s="112">
        <f>SUM(E9:E11)</f>
        <v>65</v>
      </c>
      <c r="F12" s="112">
        <f>SUM(F9:F11)</f>
        <v>147</v>
      </c>
      <c r="G12" s="112">
        <f>SUM(G9:G11)</f>
        <v>309</v>
      </c>
      <c r="H12" s="113">
        <f>(1440-G12)/1440</f>
        <v>0.78541666666666665</v>
      </c>
    </row>
    <row r="14" spans="2:12" ht="20.100000000000001" customHeight="1" x14ac:dyDescent="0.25">
      <c r="B14" s="17" t="s">
        <v>84</v>
      </c>
      <c r="C14" s="12"/>
      <c r="D14" s="12"/>
      <c r="E14" s="12"/>
      <c r="F14" s="12"/>
    </row>
    <row r="15" spans="2:12" ht="20.100000000000001" customHeight="1" x14ac:dyDescent="0.25">
      <c r="B15" s="4" t="s">
        <v>85</v>
      </c>
      <c r="C15" s="4" t="s">
        <v>86</v>
      </c>
      <c r="D15" s="4" t="s">
        <v>87</v>
      </c>
      <c r="E15" s="4" t="s">
        <v>88</v>
      </c>
      <c r="F15" s="4" t="s">
        <v>89</v>
      </c>
    </row>
    <row r="16" spans="2:12" ht="18.95" customHeight="1" x14ac:dyDescent="0.25">
      <c r="B16" s="5" t="s">
        <v>7</v>
      </c>
      <c r="C16" s="6" t="s">
        <v>8</v>
      </c>
      <c r="D16" s="7">
        <f>SUMIF('Registro Turnos'!$B$4:$B$49, B16, 'Registro Turnos'!$C$4:$C$49) + SUMIF('Registro Turnos'!$B$4:$B$49, B16, 'Registro Turnos'!$D$4:$D$49) + SUMIF('Registro Turnos'!$B$4:$B$49, B16, 'Registro Turnos'!$E$4:$E$49)</f>
        <v>45</v>
      </c>
      <c r="E16" s="8">
        <f t="shared" ref="E16:E22" si="0">IF(G$12=0, 0, D16/G$12)</f>
        <v>0.14563106796116504</v>
      </c>
      <c r="F16" s="5" t="s">
        <v>90</v>
      </c>
    </row>
    <row r="17" spans="2:6" ht="18.95" customHeight="1" x14ac:dyDescent="0.25">
      <c r="B17" s="2" t="s">
        <v>5</v>
      </c>
      <c r="C17" s="3" t="s">
        <v>6</v>
      </c>
      <c r="D17" s="9">
        <f>SUMIF('Registro Turnos'!$B$4:$B$49, B17, 'Registro Turnos'!$C$4:$C$49) + SUMIF('Registro Turnos'!$B$4:$B$49, B17, 'Registro Turnos'!$D$4:$D$49) + SUMIF('Registro Turnos'!$B$4:$B$49, B17, 'Registro Turnos'!$E$4:$E$49)</f>
        <v>39</v>
      </c>
      <c r="E17" s="10">
        <f t="shared" si="0"/>
        <v>0.12621359223300971</v>
      </c>
      <c r="F17" s="2" t="s">
        <v>90</v>
      </c>
    </row>
    <row r="18" spans="2:6" ht="18.95" customHeight="1" x14ac:dyDescent="0.25">
      <c r="B18" s="5" t="s">
        <v>13</v>
      </c>
      <c r="C18" s="6" t="s">
        <v>14</v>
      </c>
      <c r="D18" s="7">
        <f>SUMIF('Registro Turnos'!$B$4:$B$49, B18, 'Registro Turnos'!$C$4:$C$49) + SUMIF('Registro Turnos'!$B$4:$B$49, B18, 'Registro Turnos'!$D$4:$D$49) + SUMIF('Registro Turnos'!$B$4:$B$49, B18, 'Registro Turnos'!$E$4:$E$49)</f>
        <v>25</v>
      </c>
      <c r="E18" s="8">
        <f t="shared" si="0"/>
        <v>8.0906148867313912E-2</v>
      </c>
      <c r="F18" s="5" t="s">
        <v>90</v>
      </c>
    </row>
    <row r="19" spans="2:6" ht="18.95" customHeight="1" x14ac:dyDescent="0.25">
      <c r="B19" s="2" t="s">
        <v>11</v>
      </c>
      <c r="C19" s="3" t="s">
        <v>12</v>
      </c>
      <c r="D19" s="9">
        <f>SUMIF('Registro Turnos'!$B$4:$B$49, B19, 'Registro Turnos'!$C$4:$C$49) + SUMIF('Registro Turnos'!$B$4:$B$49, B19, 'Registro Turnos'!$D$4:$D$49) + SUMIF('Registro Turnos'!$B$4:$B$49, B19, 'Registro Turnos'!$E$4:$E$49)</f>
        <v>35</v>
      </c>
      <c r="E19" s="10">
        <f t="shared" si="0"/>
        <v>0.11326860841423948</v>
      </c>
      <c r="F19" s="2" t="s">
        <v>91</v>
      </c>
    </row>
    <row r="20" spans="2:6" ht="18.95" customHeight="1" x14ac:dyDescent="0.25">
      <c r="B20" s="5" t="s">
        <v>17</v>
      </c>
      <c r="C20" s="6" t="s">
        <v>18</v>
      </c>
      <c r="D20" s="7">
        <f>SUMIF('Registro Turnos'!$B$4:$B$49, B20, 'Registro Turnos'!$C$4:$C$49) + SUMIF('Registro Turnos'!$B$4:$B$49, B20, 'Registro Turnos'!$D$4:$D$49) + SUMIF('Registro Turnos'!$B$4:$B$49, B20, 'Registro Turnos'!$E$4:$E$49)</f>
        <v>85</v>
      </c>
      <c r="E20" s="8">
        <f t="shared" si="0"/>
        <v>0.27508090614886732</v>
      </c>
      <c r="F20" s="5" t="s">
        <v>91</v>
      </c>
    </row>
    <row r="21" spans="2:6" ht="18.95" customHeight="1" x14ac:dyDescent="0.25">
      <c r="B21" s="2" t="s">
        <v>19</v>
      </c>
      <c r="C21" s="3" t="s">
        <v>20</v>
      </c>
      <c r="D21" s="9">
        <f>SUMIF('Registro Turnos'!$B$4:$B$49, B21, 'Registro Turnos'!$C$4:$C$49) + SUMIF('Registro Turnos'!$B$4:$B$49, B21, 'Registro Turnos'!$D$4:$D$49) + SUMIF('Registro Turnos'!$B$4:$B$49, B21, 'Registro Turnos'!$E$4:$E$49)</f>
        <v>20</v>
      </c>
      <c r="E21" s="10">
        <f t="shared" si="0"/>
        <v>6.4724919093851127E-2</v>
      </c>
      <c r="F21" s="2" t="s">
        <v>91</v>
      </c>
    </row>
    <row r="22" spans="2:6" ht="18.95" customHeight="1" x14ac:dyDescent="0.25">
      <c r="B22" s="5" t="s">
        <v>3</v>
      </c>
      <c r="C22" s="6" t="s">
        <v>4</v>
      </c>
      <c r="D22" s="7">
        <f>SUMIF('Registro Turnos'!$B$4:$B$49, B22, 'Registro Turnos'!$C$4:$C$49) + SUMIF('Registro Turnos'!$B$4:$B$49, B22, 'Registro Turnos'!$D$4:$D$49) + SUMIF('Registro Turnos'!$B$4:$B$49, B22, 'Registro Turnos'!$E$4:$E$49)</f>
        <v>5</v>
      </c>
      <c r="E22" s="8">
        <f t="shared" si="0"/>
        <v>1.6181229773462782E-2</v>
      </c>
      <c r="F22" s="5" t="s">
        <v>91</v>
      </c>
    </row>
  </sheetData>
  <mergeCells count="15">
    <mergeCell ref="B1:L1"/>
    <mergeCell ref="H5:I5"/>
    <mergeCell ref="E4:F4"/>
    <mergeCell ref="B7:H7"/>
    <mergeCell ref="B14:F14"/>
    <mergeCell ref="E3:F3"/>
    <mergeCell ref="B3:C3"/>
    <mergeCell ref="H3:I3"/>
    <mergeCell ref="B4:C4"/>
    <mergeCell ref="H4:I4"/>
    <mergeCell ref="K3:L3"/>
    <mergeCell ref="K4:L4"/>
    <mergeCell ref="K5:L5"/>
    <mergeCell ref="E5:F5"/>
    <mergeCell ref="B5:C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Catálogo</vt:lpstr>
      <vt:lpstr>Registro Turnos</vt:lpstr>
      <vt:lpstr>Dashboard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.</cp:lastModifiedBy>
  <dcterms:created xsi:type="dcterms:W3CDTF">2026-09-19T00:41:30Z</dcterms:created>
  <dcterms:modified xsi:type="dcterms:W3CDTF">2026-09-19T02:03:24Z</dcterms:modified>
</cp:coreProperties>
</file>