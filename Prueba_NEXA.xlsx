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OGRAMADOR\Downloads\"/>
    </mc:Choice>
  </mc:AlternateContent>
  <xr:revisionPtr revIDLastSave="0" documentId="13_ncr:1_{8AD1906C-2628-4487-AC26-809EE488150C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Catálogo" sheetId="1" r:id="rId1"/>
    <sheet name="Registro Diario" sheetId="2" r:id="rId2"/>
    <sheet name="Dashboard Ejecutiv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3" l="1"/>
  <c r="H10" i="3"/>
  <c r="H9" i="3"/>
  <c r="F53" i="2"/>
  <c r="E11" i="3" s="1"/>
  <c r="E53" i="2"/>
  <c r="D11" i="3" s="1"/>
  <c r="G52" i="2"/>
  <c r="D52" i="2"/>
  <c r="G51" i="2"/>
  <c r="D51" i="2"/>
  <c r="G50" i="2"/>
  <c r="D50" i="2"/>
  <c r="G49" i="2"/>
  <c r="D49" i="2"/>
  <c r="G48" i="2"/>
  <c r="D48" i="2"/>
  <c r="G47" i="2"/>
  <c r="D47" i="2"/>
  <c r="G46" i="2"/>
  <c r="D46" i="2"/>
  <c r="G45" i="2"/>
  <c r="D45" i="2"/>
  <c r="F33" i="2"/>
  <c r="E10" i="3" s="1"/>
  <c r="E33" i="2"/>
  <c r="D10" i="3" s="1"/>
  <c r="G26" i="2"/>
  <c r="D26" i="2"/>
  <c r="G25" i="2"/>
  <c r="D25" i="2"/>
  <c r="F13" i="2"/>
  <c r="E9" i="3" s="1"/>
  <c r="E13" i="2"/>
  <c r="D9" i="3" s="1"/>
  <c r="G12" i="2"/>
  <c r="D12" i="2"/>
  <c r="G11" i="2"/>
  <c r="D11" i="2"/>
  <c r="G10" i="2"/>
  <c r="D10" i="2"/>
  <c r="G9" i="2"/>
  <c r="D9" i="2"/>
  <c r="G8" i="2"/>
  <c r="D18" i="3" s="1"/>
  <c r="D8" i="2"/>
  <c r="G7" i="2"/>
  <c r="D19" i="3" s="1"/>
  <c r="D7" i="2"/>
  <c r="G6" i="2"/>
  <c r="D17" i="3" s="1"/>
  <c r="D6" i="2"/>
  <c r="G5" i="2"/>
  <c r="D5" i="2"/>
  <c r="D16" i="3" l="1"/>
  <c r="G33" i="2"/>
  <c r="H33" i="2" s="1"/>
  <c r="F11" i="3"/>
  <c r="G11" i="3" s="1"/>
  <c r="H12" i="3"/>
  <c r="G13" i="2"/>
  <c r="H13" i="2" s="1"/>
  <c r="G53" i="2"/>
  <c r="H53" i="2" s="1"/>
  <c r="D20" i="3"/>
  <c r="D12" i="3"/>
  <c r="F9" i="3"/>
  <c r="E12" i="3"/>
  <c r="F10" i="3"/>
  <c r="G10" i="3" s="1"/>
  <c r="B4" i="3"/>
  <c r="E4" i="3"/>
  <c r="D21" i="3"/>
  <c r="E17" i="3" l="1"/>
  <c r="E21" i="3"/>
  <c r="E18" i="3"/>
  <c r="E19" i="3"/>
  <c r="E20" i="3"/>
  <c r="G9" i="3"/>
  <c r="F12" i="3"/>
  <c r="G12" i="3" s="1"/>
  <c r="E16" i="3"/>
</calcChain>
</file>

<file path=xl/sharedStrings.xml><?xml version="1.0" encoding="utf-8"?>
<sst xmlns="http://schemas.openxmlformats.org/spreadsheetml/2006/main" count="201" uniqueCount="120">
  <si>
    <t>CATÁLOGO DE CÓDIGOS DE PARADAS Y VACÍOS</t>
  </si>
  <si>
    <t>Código</t>
  </si>
  <si>
    <t>Descripción del Evento</t>
  </si>
  <si>
    <t>Tipo</t>
  </si>
  <si>
    <t>P-101</t>
  </si>
  <si>
    <t>Falla Mecánica General</t>
  </si>
  <si>
    <t>Parada</t>
  </si>
  <si>
    <t>P-102</t>
  </si>
  <si>
    <t>Falla Hidráulica Prensa 1</t>
  </si>
  <si>
    <t>P-103</t>
  </si>
  <si>
    <t>Falla Eléctrica / Sensores</t>
  </si>
  <si>
    <t>P-104</t>
  </si>
  <si>
    <t>Falta Barbotina / Masa</t>
  </si>
  <si>
    <t>P-105</t>
  </si>
  <si>
    <t>Atasco Salida Prensa</t>
  </si>
  <si>
    <t>P-201</t>
  </si>
  <si>
    <t>Cambio de Molde / Formato</t>
  </si>
  <si>
    <t>Parada Programada</t>
  </si>
  <si>
    <t>P-202</t>
  </si>
  <si>
    <t>Mantenimiento Preventivo</t>
  </si>
  <si>
    <t>P-203</t>
  </si>
  <si>
    <t>Limpieza de Punzones / Matrices</t>
  </si>
  <si>
    <t>Parada Operativa</t>
  </si>
  <si>
    <t>P-204</t>
  </si>
  <si>
    <t>Falla Eléctrica Distribución</t>
  </si>
  <si>
    <t>V-201</t>
  </si>
  <si>
    <t>Vacío Horno / Falta carga L-2</t>
  </si>
  <si>
    <t>Vacío Horno</t>
  </si>
  <si>
    <t>V-301</t>
  </si>
  <si>
    <t>Vacío Horno - Regulación Térmica</t>
  </si>
  <si>
    <t>V-302</t>
  </si>
  <si>
    <t>Vacío Horno - Atasco Entrada Rodillos</t>
  </si>
  <si>
    <t>V-303</t>
  </si>
  <si>
    <t>Vacío Horno - Parada Línea Esmalte</t>
  </si>
  <si>
    <t>O-999</t>
  </si>
  <si>
    <t>Otros / Imprevisto General</t>
  </si>
  <si>
    <t>Otros</t>
  </si>
  <si>
    <t>PLANILLA ÚNICA DE REGISTRO DIARIO - CONTROL OPERATIVO POR TURNOS</t>
  </si>
  <si>
    <t>Turno</t>
  </si>
  <si>
    <t>Hora</t>
  </si>
  <si>
    <t>Cód. Motivo</t>
  </si>
  <si>
    <t>Descripción Motivo</t>
  </si>
  <si>
    <t>Min. Parada</t>
  </si>
  <si>
    <t>Min. Vacíos</t>
  </si>
  <si>
    <t>Total Min</t>
  </si>
  <si>
    <t>Observaciones del Evento</t>
  </si>
  <si>
    <t>Mañana</t>
  </si>
  <si>
    <t>06:40</t>
  </si>
  <si>
    <t>Cambio de electroválvula sector A</t>
  </si>
  <si>
    <t>08:15</t>
  </si>
  <si>
    <t>Retraso en transferencia línea 2</t>
  </si>
  <si>
    <t>10:30</t>
  </si>
  <si>
    <t>Limpieza de matriz y sensores</t>
  </si>
  <si>
    <t>12:00</t>
  </si>
  <si>
    <t>Ajuste de espesor según programa</t>
  </si>
  <si>
    <t>TOTALES MAÑANA</t>
  </si>
  <si>
    <t>Problema / Defecto</t>
  </si>
  <si>
    <t>Acción Correctiva / Preventiva</t>
  </si>
  <si>
    <t>Responsable</t>
  </si>
  <si>
    <t>Estado</t>
  </si>
  <si>
    <t>Observaciones</t>
  </si>
  <si>
    <t>07:10</t>
  </si>
  <si>
    <t>Descalibre en espesor salida</t>
  </si>
  <si>
    <t>Desgaste placa guía</t>
  </si>
  <si>
    <t>Mantenimiento</t>
  </si>
  <si>
    <t>Cerrado</t>
  </si>
  <si>
    <t>09:40</t>
  </si>
  <si>
    <t>Defecto curvatura / alabeo</t>
  </si>
  <si>
    <t>Operador / Calidad</t>
  </si>
  <si>
    <t>Tarde</t>
  </si>
  <si>
    <t>15:10</t>
  </si>
  <si>
    <t>Falla en sensor inductivo salida</t>
  </si>
  <si>
    <t>17:40</t>
  </si>
  <si>
    <t>Espera de línea por cambio</t>
  </si>
  <si>
    <t>TOTALES TARDE</t>
  </si>
  <si>
    <t>15:30</t>
  </si>
  <si>
    <t>Parada no programada sensor</t>
  </si>
  <si>
    <t>Limpieza y calibración de distancia</t>
  </si>
  <si>
    <t>Instrumentación</t>
  </si>
  <si>
    <t>Noche</t>
  </si>
  <si>
    <t>01:20</t>
  </si>
  <si>
    <t>Ajuste de guías laterales de prensado</t>
  </si>
  <si>
    <t>04:00</t>
  </si>
  <si>
    <t>Disparo térmico en bomba secundaria</t>
  </si>
  <si>
    <t>TOTALES NOCHE</t>
  </si>
  <si>
    <t>01:45</t>
  </si>
  <si>
    <t>Burbujas en prensado</t>
  </si>
  <si>
    <t>Purgado y regulación de presión</t>
  </si>
  <si>
    <t>Operador</t>
  </si>
  <si>
    <t>En Proceso</t>
  </si>
  <si>
    <t>DASHBOARD EJECUTIVO - CONSOLIDADO GENERAL DE PARADAS Y VACÍOS</t>
  </si>
  <si>
    <t>TOTAL PARADAS DÍA</t>
  </si>
  <si>
    <t>TOTAL VACÍOS HORNO</t>
  </si>
  <si>
    <t>CONSOLIDADO OPERATIVO POR TURNO (SUMARIZADO DIRECTO)</t>
  </si>
  <si>
    <t>Horas Turno</t>
  </si>
  <si>
    <t>Min. Paradas</t>
  </si>
  <si>
    <t>Min. Operativos</t>
  </si>
  <si>
    <t>% Disponibilidad</t>
  </si>
  <si>
    <t>Total Eventos</t>
  </si>
  <si>
    <t>8.0 hs</t>
  </si>
  <si>
    <t>TOTAL DÍA</t>
  </si>
  <si>
    <t>24.0 hs</t>
  </si>
  <si>
    <t>RANKING DE MOTIVOS CON MAYOR IMPACTO (DÍA COMPLETO)</t>
  </si>
  <si>
    <t>Motivo / Causa</t>
  </si>
  <si>
    <t>Minutos Totales</t>
  </si>
  <si>
    <t>% del Total Pérdidas</t>
  </si>
  <si>
    <t xml:space="preserve">TURNO MAÑANA </t>
  </si>
  <si>
    <t xml:space="preserve">TURNO TARDE </t>
  </si>
  <si>
    <t xml:space="preserve"> TURNO NOCHE </t>
  </si>
  <si>
    <t>Paradas de Maquinas, Transporte, Etc.</t>
  </si>
  <si>
    <t>Pérdidas por espacios en Horno</t>
  </si>
  <si>
    <t xml:space="preserve">Peido de selección </t>
  </si>
  <si>
    <t>Bloqueo de cepos de seguridad</t>
  </si>
  <si>
    <t>Falla cuchilla de tolva</t>
  </si>
  <si>
    <t>suciedad sobre bizcocho</t>
  </si>
  <si>
    <t>ajuste de bateria de limpieza en prensas</t>
  </si>
  <si>
    <t>albeiro sebastian</t>
  </si>
  <si>
    <t>se ajusta toda la bateria de limpieza en prensas</t>
  </si>
  <si>
    <t>cambio de guias</t>
  </si>
  <si>
    <t>cambio de cilo de temperatura de horno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</si>
</sst>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min&quot;"/>
    <numFmt numFmtId="165" formatCode="0.0%"/>
  </numFmts>
  <fonts count="2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9"/>
      <color rgb="FFFFFFFF"/>
      <name val="Calibri"/>
    </font>
    <font>
      <sz val="9"/>
      <color rgb="FF1E293B"/>
      <name val="Calibri"/>
    </font>
    <font>
      <b/>
      <sz val="9.5"/>
      <color rgb="FF047857"/>
      <name val="Calibri"/>
    </font>
    <font>
      <b/>
      <sz val="10"/>
      <color rgb="FF0F172A"/>
      <name val="Calibri"/>
    </font>
    <font>
      <b/>
      <sz val="14"/>
      <color rgb="FFFFFFFF"/>
      <name val="Calibri"/>
      <family val="2"/>
    </font>
    <font>
      <sz val="14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1E293B"/>
      <name val="Calibri"/>
      <family val="2"/>
    </font>
    <font>
      <b/>
      <sz val="11"/>
      <color rgb="FF0F172A"/>
      <name val="Calibri"/>
      <family val="2"/>
    </font>
    <font>
      <b/>
      <sz val="9.5"/>
      <color rgb="FF047857"/>
      <name val="Calibri"/>
      <family val="2"/>
    </font>
    <font>
      <b/>
      <sz val="11"/>
      <color rgb="FF047857"/>
      <name val="Calibri"/>
      <family val="2"/>
    </font>
    <font>
      <sz val="8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64748B"/>
      <name val="Calibri"/>
      <family val="2"/>
    </font>
    <font>
      <b/>
      <sz val="10"/>
      <color rgb="FF64748B"/>
      <name val="Calibri"/>
      <family val="2"/>
    </font>
    <font>
      <b/>
      <sz val="10"/>
      <color theme="1"/>
      <name val="Calibri"/>
      <family val="2"/>
      <scheme val="minor"/>
    </font>
    <font>
      <b/>
      <sz val="20"/>
      <color rgb="FFEF4444"/>
      <name val="Calibri"/>
      <family val="2"/>
    </font>
    <font>
      <sz val="20"/>
      <color theme="1"/>
      <name val="Calibri"/>
      <family val="2"/>
      <scheme val="minor"/>
    </font>
    <font>
      <b/>
      <sz val="20"/>
      <color rgb="FFF59E0B"/>
      <name val="Calibri"/>
      <family val="2"/>
    </font>
    <font>
      <b/>
      <sz val="20"/>
      <color rgb="FF10B981"/>
      <name val="Calibri"/>
      <family val="2"/>
    </font>
    <font>
      <b/>
      <sz val="20"/>
      <color rgb="FF00B0F0"/>
      <name val="Calibri"/>
      <family val="2"/>
    </font>
    <font>
      <sz val="20"/>
      <color rgb="FF00B0F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1E293B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4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double">
        <color rgb="FF0F172A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2" tint="-0.249977111117893"/>
      </right>
      <top style="thin">
        <color theme="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3"/>
      </right>
      <top style="thin">
        <color theme="3"/>
      </top>
      <bottom style="thin">
        <color theme="2" tint="-0.249977111117893"/>
      </bottom>
      <diagonal/>
    </border>
    <border>
      <left style="thin">
        <color theme="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3"/>
      </left>
      <right style="thin">
        <color theme="2" tint="-0.249977111117893"/>
      </right>
      <top style="thin">
        <color theme="2" tint="-0.249977111117893"/>
      </top>
      <bottom style="thin">
        <color theme="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3"/>
      </bottom>
      <diagonal/>
    </border>
    <border>
      <left style="thin">
        <color theme="2" tint="-0.249977111117893"/>
      </left>
      <right style="thin">
        <color theme="3"/>
      </right>
      <top style="thin">
        <color theme="2" tint="-0.249977111117893"/>
      </top>
      <bottom style="thin">
        <color theme="3"/>
      </bottom>
      <diagonal/>
    </border>
    <border>
      <left style="thin">
        <color theme="3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theme="3"/>
      </right>
      <top style="thin">
        <color rgb="FFCBD5E1"/>
      </top>
      <bottom style="thin">
        <color rgb="FFCBD5E1"/>
      </bottom>
      <diagonal/>
    </border>
    <border>
      <left style="thin">
        <color theme="2" tint="-0.249977111117893"/>
      </left>
      <right style="thin">
        <color theme="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/>
      <top/>
      <bottom style="thin">
        <color theme="3"/>
      </bottom>
      <diagonal/>
    </border>
    <border>
      <left style="thin">
        <color rgb="FFCBD5E1"/>
      </left>
      <right style="thin">
        <color theme="3"/>
      </right>
      <top style="thin">
        <color rgb="FFCBD5E1"/>
      </top>
      <bottom/>
      <diagonal/>
    </border>
    <border>
      <left style="thin">
        <color theme="3"/>
      </left>
      <right style="thin">
        <color rgb="FFCBD5E1"/>
      </right>
      <top style="thin">
        <color rgb="FFCBD5E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3"/>
      </right>
      <top/>
      <bottom style="thin">
        <color theme="2" tint="-0.249977111117893"/>
      </bottom>
      <diagonal/>
    </border>
    <border>
      <left style="thin">
        <color theme="3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theme="3"/>
      </right>
      <top/>
      <bottom style="thin">
        <color rgb="FFCBD5E1"/>
      </bottom>
      <diagonal/>
    </border>
    <border>
      <left/>
      <right/>
      <top style="thin">
        <color theme="3"/>
      </top>
      <bottom/>
      <diagonal/>
    </border>
    <border>
      <left style="thin">
        <color rgb="FFCBD5E1"/>
      </left>
      <right style="thin">
        <color rgb="FFCBD5E1"/>
      </right>
      <top style="thick">
        <color rgb="FFFF0000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ck">
        <color rgb="FFFFC000"/>
      </top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0" fillId="9" borderId="0" xfId="0" applyFill="1"/>
    <xf numFmtId="0" fontId="3" fillId="9" borderId="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3" fontId="10" fillId="6" borderId="2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3" fontId="9" fillId="10" borderId="1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ont="1"/>
    <xf numFmtId="0" fontId="14" fillId="8" borderId="10" xfId="0" applyFont="1" applyFill="1" applyBorder="1" applyAlignment="1">
      <alignment horizontal="center" vertical="center"/>
    </xf>
    <xf numFmtId="0" fontId="14" fillId="11" borderId="10" xfId="0" applyFont="1" applyFill="1" applyBorder="1" applyAlignment="1">
      <alignment horizontal="center" vertical="center"/>
    </xf>
    <xf numFmtId="0" fontId="14" fillId="12" borderId="10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left" vertical="center"/>
    </xf>
    <xf numFmtId="0" fontId="9" fillId="10" borderId="6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left" vertical="center"/>
    </xf>
    <xf numFmtId="0" fontId="0" fillId="9" borderId="6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 vertical="center"/>
    </xf>
    <xf numFmtId="3" fontId="9" fillId="4" borderId="6" xfId="0" applyNumberFormat="1" applyFont="1" applyFill="1" applyBorder="1" applyAlignment="1">
      <alignment horizontal="center" vertical="center"/>
    </xf>
    <xf numFmtId="3" fontId="9" fillId="10" borderId="6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left" vertical="center"/>
    </xf>
    <xf numFmtId="0" fontId="0" fillId="9" borderId="6" xfId="0" applyFont="1" applyFill="1" applyBorder="1" applyAlignment="1">
      <alignment horizontal="center" vertical="center"/>
    </xf>
    <xf numFmtId="0" fontId="0" fillId="10" borderId="6" xfId="0" applyFont="1" applyFill="1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9" fillId="9" borderId="17" xfId="0" applyFont="1" applyFill="1" applyBorder="1" applyAlignment="1">
      <alignment horizontal="center" vertical="center"/>
    </xf>
    <xf numFmtId="0" fontId="9" fillId="10" borderId="19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9" borderId="19" xfId="0" applyFont="1" applyFill="1" applyBorder="1" applyAlignment="1">
      <alignment horizontal="center" vertical="center"/>
    </xf>
    <xf numFmtId="0" fontId="0" fillId="10" borderId="19" xfId="0" applyFont="1" applyFill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10" borderId="21" xfId="0" applyFont="1" applyFill="1" applyBorder="1" applyAlignment="1">
      <alignment horizontal="center" vertical="center"/>
    </xf>
    <xf numFmtId="0" fontId="9" fillId="10" borderId="22" xfId="0" applyFont="1" applyFill="1" applyBorder="1" applyAlignment="1">
      <alignment horizontal="center" vertical="center"/>
    </xf>
    <xf numFmtId="0" fontId="9" fillId="9" borderId="17" xfId="0" applyFont="1" applyFill="1" applyBorder="1" applyAlignment="1">
      <alignment horizontal="left" vertical="center"/>
    </xf>
    <xf numFmtId="0" fontId="9" fillId="10" borderId="22" xfId="0" applyFont="1" applyFill="1" applyBorder="1" applyAlignment="1">
      <alignment horizontal="left" vertical="center"/>
    </xf>
    <xf numFmtId="0" fontId="0" fillId="9" borderId="19" xfId="0" applyFont="1" applyFill="1" applyBorder="1" applyAlignment="1">
      <alignment horizontal="center"/>
    </xf>
    <xf numFmtId="0" fontId="0" fillId="10" borderId="21" xfId="0" applyFont="1" applyFill="1" applyBorder="1" applyAlignment="1"/>
    <xf numFmtId="0" fontId="0" fillId="10" borderId="22" xfId="0" applyFont="1" applyFill="1" applyBorder="1" applyAlignment="1"/>
    <xf numFmtId="0" fontId="9" fillId="10" borderId="24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3" fontId="10" fillId="6" borderId="10" xfId="0" applyNumberFormat="1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3" fontId="9" fillId="10" borderId="27" xfId="0" applyNumberFormat="1" applyFont="1" applyFill="1" applyBorder="1" applyAlignment="1">
      <alignment horizontal="center" vertical="center"/>
    </xf>
    <xf numFmtId="0" fontId="9" fillId="10" borderId="28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0" fillId="0" borderId="29" xfId="0" applyBorder="1"/>
    <xf numFmtId="3" fontId="9" fillId="10" borderId="7" xfId="0" applyNumberFormat="1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3" fontId="9" fillId="4" borderId="34" xfId="0" applyNumberFormat="1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3" fontId="9" fillId="4" borderId="5" xfId="0" applyNumberFormat="1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164" fontId="9" fillId="15" borderId="1" xfId="0" applyNumberFormat="1" applyFont="1" applyFill="1" applyBorder="1" applyAlignment="1">
      <alignment horizontal="center" vertical="center"/>
    </xf>
    <xf numFmtId="165" fontId="9" fillId="15" borderId="1" xfId="0" applyNumberFormat="1" applyFont="1" applyFill="1" applyBorder="1" applyAlignment="1">
      <alignment horizontal="center" vertical="center"/>
    </xf>
    <xf numFmtId="164" fontId="9" fillId="16" borderId="1" xfId="0" applyNumberFormat="1" applyFont="1" applyFill="1" applyBorder="1" applyAlignment="1">
      <alignment horizontal="center" vertical="center"/>
    </xf>
    <xf numFmtId="165" fontId="9" fillId="16" borderId="1" xfId="0" applyNumberFormat="1" applyFont="1" applyFill="1" applyBorder="1" applyAlignment="1">
      <alignment horizontal="center" vertical="center"/>
    </xf>
    <xf numFmtId="164" fontId="9" fillId="14" borderId="1" xfId="0" applyNumberFormat="1" applyFont="1" applyFill="1" applyBorder="1" applyAlignment="1">
      <alignment horizontal="center" vertical="center"/>
    </xf>
    <xf numFmtId="165" fontId="9" fillId="14" borderId="1" xfId="0" applyNumberFormat="1" applyFont="1" applyFill="1" applyBorder="1" applyAlignment="1">
      <alignment horizontal="center" vertical="center"/>
    </xf>
    <xf numFmtId="164" fontId="10" fillId="6" borderId="2" xfId="0" applyNumberFormat="1" applyFont="1" applyFill="1" applyBorder="1" applyAlignment="1">
      <alignment horizontal="center" vertical="center"/>
    </xf>
    <xf numFmtId="165" fontId="10" fillId="6" borderId="2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17" borderId="4" xfId="0" applyFont="1" applyFill="1" applyBorder="1" applyAlignment="1">
      <alignment horizontal="center" vertical="center"/>
    </xf>
    <xf numFmtId="0" fontId="9" fillId="17" borderId="3" xfId="0" applyFont="1" applyFill="1" applyBorder="1" applyAlignment="1">
      <alignment horizontal="center" vertical="center"/>
    </xf>
    <xf numFmtId="0" fontId="9" fillId="17" borderId="9" xfId="0" applyFont="1" applyFill="1" applyBorder="1" applyAlignment="1">
      <alignment horizontal="center" vertical="center"/>
    </xf>
    <xf numFmtId="0" fontId="9" fillId="17" borderId="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1" fillId="0" borderId="29" xfId="0" applyFont="1" applyBorder="1" applyAlignment="1">
      <alignment horizontal="left" vertical="center"/>
    </xf>
    <xf numFmtId="0" fontId="0" fillId="0" borderId="29" xfId="0" applyBorder="1"/>
    <xf numFmtId="0" fontId="6" fillId="8" borderId="13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0" fontId="7" fillId="11" borderId="13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0" fillId="9" borderId="6" xfId="0" applyFont="1" applyFill="1" applyBorder="1" applyAlignment="1">
      <alignment horizontal="center"/>
    </xf>
    <xf numFmtId="0" fontId="0" fillId="9" borderId="20" xfId="0" applyFont="1" applyFill="1" applyBorder="1" applyAlignment="1">
      <alignment horizontal="center"/>
    </xf>
    <xf numFmtId="0" fontId="0" fillId="10" borderId="22" xfId="0" applyFont="1" applyFill="1" applyBorder="1" applyAlignment="1">
      <alignment horizontal="center"/>
    </xf>
    <xf numFmtId="0" fontId="0" fillId="10" borderId="23" xfId="0" applyFont="1" applyFill="1" applyBorder="1" applyAlignment="1">
      <alignment horizontal="center"/>
    </xf>
    <xf numFmtId="0" fontId="12" fillId="0" borderId="29" xfId="0" applyFont="1" applyBorder="1" applyAlignment="1">
      <alignment horizontal="center" vertical="center"/>
    </xf>
    <xf numFmtId="0" fontId="6" fillId="12" borderId="14" xfId="0" applyFont="1" applyFill="1" applyBorder="1" applyAlignment="1">
      <alignment horizontal="center" vertical="center"/>
    </xf>
    <xf numFmtId="0" fontId="7" fillId="12" borderId="38" xfId="0" applyFont="1" applyFill="1" applyBorder="1" applyAlignment="1">
      <alignment horizontal="center" vertical="center"/>
    </xf>
    <xf numFmtId="0" fontId="7" fillId="12" borderId="15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left" vertical="center"/>
    </xf>
    <xf numFmtId="0" fontId="1" fillId="13" borderId="0" xfId="0" applyFont="1" applyFill="1" applyAlignment="1">
      <alignment horizontal="center" vertical="center"/>
    </xf>
    <xf numFmtId="0" fontId="0" fillId="13" borderId="0" xfId="0" applyFill="1"/>
    <xf numFmtId="0" fontId="14" fillId="8" borderId="10" xfId="0" applyFont="1" applyFill="1" applyBorder="1" applyAlignment="1">
      <alignment horizontal="center" vertical="center"/>
    </xf>
    <xf numFmtId="0" fontId="0" fillId="9" borderId="17" xfId="0" applyFont="1" applyFill="1" applyBorder="1" applyAlignment="1">
      <alignment horizontal="center"/>
    </xf>
    <xf numFmtId="0" fontId="0" fillId="9" borderId="18" xfId="0" applyFont="1" applyFill="1" applyBorder="1" applyAlignment="1">
      <alignment horizontal="center"/>
    </xf>
    <xf numFmtId="0" fontId="0" fillId="10" borderId="6" xfId="0" applyFont="1" applyFill="1" applyBorder="1" applyAlignment="1">
      <alignment horizontal="center"/>
    </xf>
    <xf numFmtId="0" fontId="0" fillId="10" borderId="20" xfId="0" applyFont="1" applyFill="1" applyBorder="1" applyAlignment="1">
      <alignment horizontal="center"/>
    </xf>
    <xf numFmtId="0" fontId="9" fillId="9" borderId="17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14" fillId="11" borderId="10" xfId="0" applyFont="1" applyFill="1" applyBorder="1" applyAlignment="1">
      <alignment horizontal="center" vertical="center"/>
    </xf>
    <xf numFmtId="0" fontId="0" fillId="9" borderId="6" xfId="0" applyFont="1" applyFill="1" applyBorder="1" applyAlignment="1">
      <alignment horizontal="center" vertical="center"/>
    </xf>
    <xf numFmtId="0" fontId="14" fillId="12" borderId="10" xfId="0" applyFont="1" applyFill="1" applyBorder="1" applyAlignment="1">
      <alignment horizontal="center" vertical="center"/>
    </xf>
    <xf numFmtId="0" fontId="0" fillId="9" borderId="17" xfId="0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/>
    </xf>
    <xf numFmtId="0" fontId="0" fillId="10" borderId="6" xfId="0" applyFont="1" applyFill="1" applyBorder="1" applyAlignment="1">
      <alignment horizontal="center" vertical="center"/>
    </xf>
    <xf numFmtId="0" fontId="0" fillId="10" borderId="20" xfId="0" applyFont="1" applyFill="1" applyBorder="1" applyAlignment="1">
      <alignment horizontal="center" vertical="center"/>
    </xf>
    <xf numFmtId="0" fontId="0" fillId="9" borderId="20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14" fillId="11" borderId="11" xfId="0" applyFont="1" applyFill="1" applyBorder="1" applyAlignment="1">
      <alignment horizontal="center" vertical="center"/>
    </xf>
    <xf numFmtId="0" fontId="14" fillId="11" borderId="12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10" borderId="2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9" borderId="1" xfId="0" applyFont="1" applyFill="1" applyBorder="1"/>
    <xf numFmtId="164" fontId="20" fillId="5" borderId="1" xfId="0" applyNumberFormat="1" applyFont="1" applyFill="1" applyBorder="1" applyAlignment="1">
      <alignment horizontal="center" vertical="center"/>
    </xf>
    <xf numFmtId="0" fontId="19" fillId="0" borderId="1" xfId="0" applyFont="1" applyBorder="1"/>
    <xf numFmtId="0" fontId="5" fillId="0" borderId="0" xfId="0" applyFont="1"/>
    <xf numFmtId="0" fontId="10" fillId="0" borderId="0" xfId="0" applyFont="1"/>
    <xf numFmtId="0" fontId="0" fillId="0" borderId="0" xfId="0" applyFont="1"/>
    <xf numFmtId="0" fontId="15" fillId="5" borderId="40" xfId="0" applyFont="1" applyFill="1" applyBorder="1" applyAlignment="1">
      <alignment horizontal="center" vertical="center"/>
    </xf>
    <xf numFmtId="0" fontId="0" fillId="0" borderId="40" xfId="0" applyFont="1" applyBorder="1"/>
    <xf numFmtId="0" fontId="15" fillId="5" borderId="39" xfId="0" applyFont="1" applyFill="1" applyBorder="1" applyAlignment="1">
      <alignment horizontal="center" vertical="center"/>
    </xf>
    <xf numFmtId="0" fontId="0" fillId="0" borderId="39" xfId="0" applyFont="1" applyBorder="1"/>
    <xf numFmtId="0" fontId="15" fillId="9" borderId="0" xfId="0" applyFont="1" applyFill="1" applyBorder="1" applyAlignment="1">
      <alignment horizontal="center" vertical="center"/>
    </xf>
    <xf numFmtId="0" fontId="0" fillId="9" borderId="0" xfId="0" applyFont="1" applyFill="1" applyBorder="1"/>
    <xf numFmtId="164" fontId="18" fillId="5" borderId="1" xfId="0" applyNumberFormat="1" applyFont="1" applyFill="1" applyBorder="1" applyAlignment="1">
      <alignment horizontal="center" vertical="center"/>
    </xf>
    <xf numFmtId="165" fontId="21" fillId="9" borderId="5" xfId="0" applyNumberFormat="1" applyFont="1" applyFill="1" applyBorder="1" applyAlignment="1">
      <alignment horizontal="center" vertical="center"/>
    </xf>
    <xf numFmtId="0" fontId="19" fillId="9" borderId="5" xfId="0" applyFont="1" applyFill="1" applyBorder="1"/>
    <xf numFmtId="3" fontId="22" fillId="5" borderId="0" xfId="0" applyNumberFormat="1" applyFont="1" applyFill="1" applyBorder="1" applyAlignment="1">
      <alignment horizontal="center" vertical="center"/>
    </xf>
    <xf numFmtId="0" fontId="23" fillId="0" borderId="0" xfId="0" applyFont="1" applyBorder="1"/>
    <xf numFmtId="0" fontId="16" fillId="5" borderId="0" xfId="0" applyFont="1" applyFill="1" applyBorder="1" applyAlignment="1">
      <alignment horizontal="center" vertical="center"/>
    </xf>
    <xf numFmtId="0" fontId="17" fillId="0" borderId="0" xfId="0" applyFont="1" applyBorder="1"/>
    <xf numFmtId="0" fontId="16" fillId="5" borderId="1" xfId="0" applyFont="1" applyFill="1" applyBorder="1" applyAlignment="1">
      <alignment horizontal="center" vertical="center"/>
    </xf>
    <xf numFmtId="0" fontId="17" fillId="0" borderId="1" xfId="0" applyFont="1" applyBorder="1"/>
    <xf numFmtId="165" fontId="9" fillId="5" borderId="3" xfId="0" applyNumberFormat="1" applyFont="1" applyFill="1" applyBorder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20" fontId="9" fillId="4" borderId="6" xfId="0" applyNumberFormat="1" applyFont="1" applyFill="1" applyBorder="1" applyAlignment="1">
      <alignment horizontal="center" vertical="center"/>
    </xf>
    <xf numFmtId="20" fontId="9" fillId="4" borderId="1" xfId="0" applyNumberFormat="1" applyFont="1" applyFill="1" applyBorder="1" applyAlignment="1">
      <alignment horizontal="center" vertical="center"/>
    </xf>
    <xf numFmtId="20" fontId="9" fillId="10" borderId="1" xfId="0" applyNumberFormat="1" applyFont="1" applyFill="1" applyBorder="1" applyAlignment="1">
      <alignment horizontal="center" vertical="center"/>
    </xf>
    <xf numFmtId="20" fontId="9" fillId="9" borderId="1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E293B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/>
        <top style="thin">
          <color rgb="FFCBD5E1"/>
        </top>
        <bottom style="thin">
          <color rgb="FFCBD5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E293B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top style="thin">
          <color rgb="FFCBD5E1"/>
        </top>
      </border>
    </dxf>
    <dxf>
      <border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33415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</dxfs>
  <tableStyles count="0" defaultTableStyle="TableStyleMedium9" defaultPivotStyle="PivotStyleLight16"/>
  <colors>
    <mruColors>
      <color rgb="FFE7F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Minutos Parada vs Vacío por Turno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Ejecutivo'!$D$8</c:f>
              <c:strCache>
                <c:ptCount val="1"/>
                <c:pt idx="0">
                  <c:v>Min. Paradas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Ejecutivo'!$B$9:$B$11</c:f>
              <c:strCache>
                <c:ptCount val="3"/>
                <c:pt idx="0">
                  <c:v>Mañana</c:v>
                </c:pt>
                <c:pt idx="1">
                  <c:v>Tarde</c:v>
                </c:pt>
                <c:pt idx="2">
                  <c:v>Noche</c:v>
                </c:pt>
              </c:strCache>
            </c:strRef>
          </c:cat>
          <c:val>
            <c:numRef>
              <c:f>'Dashboard Ejecutivo'!$D$9:$D$11</c:f>
              <c:numCache>
                <c:formatCode>#,##0\ "min"</c:formatCode>
                <c:ptCount val="3"/>
                <c:pt idx="0">
                  <c:v>125</c:v>
                </c:pt>
                <c:pt idx="1">
                  <c:v>25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A-4835-90C8-A8391E127B0D}"/>
            </c:ext>
          </c:extLst>
        </c:ser>
        <c:ser>
          <c:idx val="1"/>
          <c:order val="1"/>
          <c:tx>
            <c:strRef>
              <c:f>'Dashboard Ejecutivo'!$E$8</c:f>
              <c:strCache>
                <c:ptCount val="1"/>
                <c:pt idx="0">
                  <c:v>Min. Vacíos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Ejecutivo'!$B$9:$B$11</c:f>
              <c:strCache>
                <c:ptCount val="3"/>
                <c:pt idx="0">
                  <c:v>Mañana</c:v>
                </c:pt>
                <c:pt idx="1">
                  <c:v>Tarde</c:v>
                </c:pt>
                <c:pt idx="2">
                  <c:v>Noche</c:v>
                </c:pt>
              </c:strCache>
            </c:strRef>
          </c:cat>
          <c:val>
            <c:numRef>
              <c:f>'Dashboard Ejecutivo'!$E$9:$E$11</c:f>
              <c:numCache>
                <c:formatCode>#,##0\ "min"</c:formatCode>
                <c:ptCount val="3"/>
                <c:pt idx="0">
                  <c:v>70</c:v>
                </c:pt>
                <c:pt idx="1">
                  <c:v>30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A-4835-90C8-A8391E127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t"/>
        <c:numFmt formatCode="#,##0\ &quot;min&quot;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AR"/>
              <a:t>Top Causas de Pérdida (Minutos Acumulados)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Ejecutivo'!$D$15</c:f>
              <c:strCache>
                <c:ptCount val="1"/>
                <c:pt idx="0">
                  <c:v>Minutos Totales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Ejecutivo'!$C$16:$C$23</c:f>
              <c:strCache>
                <c:ptCount val="6"/>
                <c:pt idx="0">
                  <c:v>Falla Hidráulica Prensa 1</c:v>
                </c:pt>
                <c:pt idx="1">
                  <c:v>Vacío Horno / Falta carga L-2</c:v>
                </c:pt>
                <c:pt idx="2">
                  <c:v>Cambio de Molde / Formato</c:v>
                </c:pt>
                <c:pt idx="3">
                  <c:v>Atasco Salida Prensa</c:v>
                </c:pt>
                <c:pt idx="4">
                  <c:v>Falla Mecánica General</c:v>
                </c:pt>
                <c:pt idx="5">
                  <c:v>Falla Eléctrica / Sensores</c:v>
                </c:pt>
              </c:strCache>
            </c:strRef>
          </c:cat>
          <c:val>
            <c:numRef>
              <c:f>'Dashboard Ejecutivo'!$D$16:$D$21</c:f>
              <c:numCache>
                <c:formatCode>#,##0\ "min"</c:formatCode>
                <c:ptCount val="6"/>
                <c:pt idx="0">
                  <c:v>75</c:v>
                </c:pt>
                <c:pt idx="1">
                  <c:v>55</c:v>
                </c:pt>
                <c:pt idx="2">
                  <c:v>35</c:v>
                </c:pt>
                <c:pt idx="3">
                  <c:v>30</c:v>
                </c:pt>
                <c:pt idx="4">
                  <c:v>65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D-4EE6-BFA3-37BA8A439E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,##0\ &quot;min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9524</xdr:colOff>
      <xdr:row>3</xdr:row>
      <xdr:rowOff>295275</xdr:rowOff>
    </xdr:from>
    <xdr:ext cx="5419725" cy="32670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28574</xdr:colOff>
      <xdr:row>17</xdr:row>
      <xdr:rowOff>9525</xdr:rowOff>
    </xdr:from>
    <xdr:ext cx="5429251" cy="29146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7EB4F0-0321-47BC-895C-E96F077FC789}" name="Tabla4" displayName="Tabla4" ref="B15:C23" totalsRowShown="0" headerRowDxfId="5" headerRowBorderDxfId="4" tableBorderDxfId="3" totalsRowBorderDxfId="2">
  <autoFilter ref="B15:C23" xr:uid="{157EB4F0-0321-47BC-895C-E96F077FC789}"/>
  <tableColumns count="2">
    <tableColumn id="1" xr3:uid="{827D737D-6DA4-4AE3-9D09-3F81A53D0BC3}" name="Código" dataDxfId="1"/>
    <tableColumn id="2" xr3:uid="{673D3961-07AB-4C30-AF2F-876B7FBEC5F0}" name="Motivo / Caus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sqref="A1:C1"/>
    </sheetView>
  </sheetViews>
  <sheetFormatPr baseColWidth="10" defaultColWidth="9.140625" defaultRowHeight="15" x14ac:dyDescent="0.25"/>
  <cols>
    <col min="1" max="1" width="14" customWidth="1"/>
    <col min="2" max="2" width="38" customWidth="1"/>
    <col min="3" max="3" width="20" customWidth="1"/>
  </cols>
  <sheetData>
    <row r="1" spans="1:3" ht="27.95" customHeight="1" x14ac:dyDescent="0.25">
      <c r="A1" s="99" t="s">
        <v>0</v>
      </c>
      <c r="B1" s="100"/>
      <c r="C1" s="100"/>
    </row>
    <row r="2" spans="1:3" ht="20.100000000000001" customHeight="1" x14ac:dyDescent="0.25">
      <c r="A2" s="1" t="s">
        <v>1</v>
      </c>
      <c r="B2" s="1" t="s">
        <v>2</v>
      </c>
      <c r="C2" s="1" t="s">
        <v>3</v>
      </c>
    </row>
    <row r="3" spans="1:3" ht="18.95" customHeight="1" x14ac:dyDescent="0.25">
      <c r="A3" s="2" t="s">
        <v>4</v>
      </c>
      <c r="B3" s="3" t="s">
        <v>5</v>
      </c>
      <c r="C3" s="2" t="s">
        <v>6</v>
      </c>
    </row>
    <row r="4" spans="1:3" ht="18.95" customHeight="1" x14ac:dyDescent="0.25">
      <c r="A4" s="4" t="s">
        <v>7</v>
      </c>
      <c r="B4" s="5" t="s">
        <v>8</v>
      </c>
      <c r="C4" s="4" t="s">
        <v>6</v>
      </c>
    </row>
    <row r="5" spans="1:3" ht="18.95" customHeight="1" x14ac:dyDescent="0.25">
      <c r="A5" s="2" t="s">
        <v>9</v>
      </c>
      <c r="B5" s="3" t="s">
        <v>10</v>
      </c>
      <c r="C5" s="2" t="s">
        <v>6</v>
      </c>
    </row>
    <row r="6" spans="1:3" ht="18.95" customHeight="1" x14ac:dyDescent="0.25">
      <c r="A6" s="4" t="s">
        <v>11</v>
      </c>
      <c r="B6" s="5" t="s">
        <v>12</v>
      </c>
      <c r="C6" s="4" t="s">
        <v>6</v>
      </c>
    </row>
    <row r="7" spans="1:3" ht="18.95" customHeight="1" x14ac:dyDescent="0.25">
      <c r="A7" s="2" t="s">
        <v>13</v>
      </c>
      <c r="B7" s="3" t="s">
        <v>14</v>
      </c>
      <c r="C7" s="2" t="s">
        <v>6</v>
      </c>
    </row>
    <row r="8" spans="1:3" ht="18.95" customHeight="1" x14ac:dyDescent="0.25">
      <c r="A8" s="4" t="s">
        <v>15</v>
      </c>
      <c r="B8" s="5" t="s">
        <v>16</v>
      </c>
      <c r="C8" s="4" t="s">
        <v>17</v>
      </c>
    </row>
    <row r="9" spans="1:3" ht="18.95" customHeight="1" x14ac:dyDescent="0.25">
      <c r="A9" s="2" t="s">
        <v>18</v>
      </c>
      <c r="B9" s="3" t="s">
        <v>19</v>
      </c>
      <c r="C9" s="2" t="s">
        <v>17</v>
      </c>
    </row>
    <row r="10" spans="1:3" ht="18.95" customHeight="1" x14ac:dyDescent="0.25">
      <c r="A10" s="4" t="s">
        <v>20</v>
      </c>
      <c r="B10" s="5" t="s">
        <v>21</v>
      </c>
      <c r="C10" s="4" t="s">
        <v>22</v>
      </c>
    </row>
    <row r="11" spans="1:3" ht="18.95" customHeight="1" x14ac:dyDescent="0.25">
      <c r="A11" s="2" t="s">
        <v>23</v>
      </c>
      <c r="B11" s="3" t="s">
        <v>24</v>
      </c>
      <c r="C11" s="2" t="s">
        <v>6</v>
      </c>
    </row>
    <row r="12" spans="1:3" ht="18.95" customHeight="1" x14ac:dyDescent="0.25">
      <c r="A12" s="4" t="s">
        <v>25</v>
      </c>
      <c r="B12" s="5" t="s">
        <v>26</v>
      </c>
      <c r="C12" s="4" t="s">
        <v>27</v>
      </c>
    </row>
    <row r="13" spans="1:3" ht="18.95" customHeight="1" x14ac:dyDescent="0.25">
      <c r="A13" s="2" t="s">
        <v>28</v>
      </c>
      <c r="B13" s="3" t="s">
        <v>29</v>
      </c>
      <c r="C13" s="2" t="s">
        <v>27</v>
      </c>
    </row>
    <row r="14" spans="1:3" ht="18.95" customHeight="1" x14ac:dyDescent="0.25">
      <c r="A14" s="4" t="s">
        <v>30</v>
      </c>
      <c r="B14" s="5" t="s">
        <v>31</v>
      </c>
      <c r="C14" s="4" t="s">
        <v>27</v>
      </c>
    </row>
    <row r="15" spans="1:3" ht="18.95" customHeight="1" x14ac:dyDescent="0.25">
      <c r="A15" s="2" t="s">
        <v>32</v>
      </c>
      <c r="B15" s="3" t="s">
        <v>33</v>
      </c>
      <c r="C15" s="2" t="s">
        <v>27</v>
      </c>
    </row>
    <row r="16" spans="1:3" ht="18.95" customHeight="1" x14ac:dyDescent="0.25">
      <c r="A16" s="4" t="s">
        <v>34</v>
      </c>
      <c r="B16" s="5" t="s">
        <v>35</v>
      </c>
      <c r="C16" s="4" t="s">
        <v>36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tabSelected="1" topLeftCell="A33" workbookViewId="0">
      <selection activeCell="G17" sqref="G17:H17"/>
    </sheetView>
  </sheetViews>
  <sheetFormatPr baseColWidth="10" defaultColWidth="9.140625" defaultRowHeight="15" x14ac:dyDescent="0.25"/>
  <cols>
    <col min="1" max="1" width="12" customWidth="1"/>
    <col min="2" max="2" width="25" customWidth="1"/>
    <col min="3" max="3" width="14" customWidth="1"/>
    <col min="4" max="4" width="34" customWidth="1"/>
    <col min="5" max="5" width="19.7109375" customWidth="1"/>
    <col min="6" max="7" width="13" customWidth="1"/>
    <col min="8" max="8" width="36" customWidth="1"/>
  </cols>
  <sheetData>
    <row r="1" spans="1:8" ht="32.1" customHeight="1" x14ac:dyDescent="0.25">
      <c r="A1" s="117" t="s">
        <v>37</v>
      </c>
      <c r="B1" s="118"/>
      <c r="C1" s="118"/>
      <c r="D1" s="118"/>
      <c r="E1" s="118"/>
      <c r="F1" s="118"/>
      <c r="G1" s="118"/>
      <c r="H1" s="118"/>
    </row>
    <row r="3" spans="1:8" ht="24" customHeight="1" x14ac:dyDescent="0.25">
      <c r="A3" s="103" t="s">
        <v>106</v>
      </c>
      <c r="B3" s="104"/>
      <c r="C3" s="104"/>
      <c r="D3" s="104"/>
      <c r="E3" s="104"/>
      <c r="F3" s="104"/>
      <c r="G3" s="104"/>
      <c r="H3" s="104"/>
    </row>
    <row r="4" spans="1:8" ht="21.95" customHeight="1" x14ac:dyDescent="0.25">
      <c r="A4" s="68" t="s">
        <v>38</v>
      </c>
      <c r="B4" s="68" t="s">
        <v>39</v>
      </c>
      <c r="C4" s="68" t="s">
        <v>40</v>
      </c>
      <c r="D4" s="68" t="s">
        <v>41</v>
      </c>
      <c r="E4" s="68" t="s">
        <v>42</v>
      </c>
      <c r="F4" s="68" t="s">
        <v>43</v>
      </c>
      <c r="G4" s="68" t="s">
        <v>44</v>
      </c>
      <c r="H4" s="68" t="s">
        <v>45</v>
      </c>
    </row>
    <row r="5" spans="1:8" ht="21.95" customHeight="1" x14ac:dyDescent="0.25">
      <c r="A5" s="69" t="s">
        <v>46</v>
      </c>
      <c r="B5" s="70" t="s">
        <v>47</v>
      </c>
      <c r="C5" s="70" t="s">
        <v>7</v>
      </c>
      <c r="D5" s="70" t="str">
        <f>IF(C5="","",IFERROR(VLOOKUP(C5,Catálogo!$A$3:$B$16,2,FALSE),"No Registrado"))</f>
        <v>Falla Hidráulica Prensa 1</v>
      </c>
      <c r="E5" s="71">
        <v>45</v>
      </c>
      <c r="F5" s="71">
        <v>15</v>
      </c>
      <c r="G5" s="71">
        <f t="shared" ref="G5:G12" si="0">IF(AND(E5="",F5=""),"",SUM(E5,F5))</f>
        <v>60</v>
      </c>
      <c r="H5" s="72" t="s">
        <v>48</v>
      </c>
    </row>
    <row r="6" spans="1:8" ht="21.95" customHeight="1" x14ac:dyDescent="0.25">
      <c r="A6" s="49" t="s">
        <v>46</v>
      </c>
      <c r="B6" s="13" t="s">
        <v>49</v>
      </c>
      <c r="C6" s="13" t="s">
        <v>25</v>
      </c>
      <c r="D6" s="13" t="str">
        <f>IF(C6="","",IFERROR(VLOOKUP(C6,Catálogo!$A$3:$B$16,2,FALSE),"No Registrado"))</f>
        <v>Vacío Horno / Falta carga L-2</v>
      </c>
      <c r="E6" s="14">
        <v>0</v>
      </c>
      <c r="F6" s="14">
        <v>35</v>
      </c>
      <c r="G6" s="14">
        <f t="shared" si="0"/>
        <v>35</v>
      </c>
      <c r="H6" s="50" t="s">
        <v>50</v>
      </c>
    </row>
    <row r="7" spans="1:8" ht="21.95" customHeight="1" x14ac:dyDescent="0.25">
      <c r="A7" s="51" t="s">
        <v>46</v>
      </c>
      <c r="B7" s="9" t="s">
        <v>51</v>
      </c>
      <c r="C7" s="9" t="s">
        <v>13</v>
      </c>
      <c r="D7" s="9" t="str">
        <f>IF(C7="","",IFERROR(VLOOKUP(C7,Catálogo!$A$3:$B$16,2,FALSE),"No Registrado"))</f>
        <v>Atasco Salida Prensa</v>
      </c>
      <c r="E7" s="11">
        <v>20</v>
      </c>
      <c r="F7" s="11">
        <v>10</v>
      </c>
      <c r="G7" s="11">
        <f t="shared" si="0"/>
        <v>30</v>
      </c>
      <c r="H7" s="52" t="s">
        <v>52</v>
      </c>
    </row>
    <row r="8" spans="1:8" ht="21.95" customHeight="1" x14ac:dyDescent="0.25">
      <c r="A8" s="49" t="s">
        <v>46</v>
      </c>
      <c r="B8" s="13" t="s">
        <v>53</v>
      </c>
      <c r="C8" s="13" t="s">
        <v>15</v>
      </c>
      <c r="D8" s="13" t="str">
        <f>IF(C8="","",IFERROR(VLOOKUP(C8,Catálogo!$A$3:$B$16,2,FALSE),"No Registrado"))</f>
        <v>Cambio de Molde / Formato</v>
      </c>
      <c r="E8" s="14">
        <v>30</v>
      </c>
      <c r="F8" s="14">
        <v>5</v>
      </c>
      <c r="G8" s="14">
        <f t="shared" si="0"/>
        <v>35</v>
      </c>
      <c r="H8" s="50" t="s">
        <v>54</v>
      </c>
    </row>
    <row r="9" spans="1:8" ht="21.95" customHeight="1" x14ac:dyDescent="0.25">
      <c r="A9" s="51" t="s">
        <v>46</v>
      </c>
      <c r="B9" s="171">
        <v>0.50694444444444442</v>
      </c>
      <c r="C9" s="9" t="s">
        <v>7</v>
      </c>
      <c r="D9" s="9" t="str">
        <f>IF(C9="","",IFERROR(VLOOKUP(C9,Catálogo!$A$3:$B$16,2,FALSE),"No Registrado"))</f>
        <v>Falla Hidráulica Prensa 1</v>
      </c>
      <c r="E9" s="11">
        <v>10</v>
      </c>
      <c r="F9" s="11">
        <v>5</v>
      </c>
      <c r="G9" s="11">
        <f t="shared" si="0"/>
        <v>15</v>
      </c>
      <c r="H9" s="52" t="s">
        <v>112</v>
      </c>
    </row>
    <row r="10" spans="1:8" ht="21.95" customHeight="1" x14ac:dyDescent="0.25">
      <c r="A10" s="49" t="s">
        <v>46</v>
      </c>
      <c r="B10" s="172">
        <v>0.53472222222222221</v>
      </c>
      <c r="C10" s="13" t="s">
        <v>4</v>
      </c>
      <c r="D10" s="13" t="str">
        <f>IF(C10="","",IFERROR(VLOOKUP(C10,Catálogo!$A$3:$B$16,2,FALSE),"No Registrado"))</f>
        <v>Falla Mecánica General</v>
      </c>
      <c r="E10" s="14">
        <v>20</v>
      </c>
      <c r="F10" s="14">
        <v>0</v>
      </c>
      <c r="G10" s="14">
        <f t="shared" si="0"/>
        <v>20</v>
      </c>
      <c r="H10" s="50" t="s">
        <v>113</v>
      </c>
    </row>
    <row r="11" spans="1:8" ht="21.95" customHeight="1" x14ac:dyDescent="0.25">
      <c r="A11" s="51"/>
      <c r="B11" s="9"/>
      <c r="C11" s="9"/>
      <c r="D11" s="9" t="str">
        <f>IF(C11="","",IFERROR(VLOOKUP(C11,Catálogo!$A$3:$B$16,2,FALSE),"No Registrado"))</f>
        <v/>
      </c>
      <c r="E11" s="11"/>
      <c r="F11" s="11"/>
      <c r="G11" s="11" t="str">
        <f t="shared" si="0"/>
        <v/>
      </c>
      <c r="H11" s="52"/>
    </row>
    <row r="12" spans="1:8" ht="21.95" customHeight="1" x14ac:dyDescent="0.25">
      <c r="A12" s="62"/>
      <c r="B12" s="63"/>
      <c r="C12" s="63"/>
      <c r="D12" s="63" t="str">
        <f>IF(C12="","",IFERROR(VLOOKUP(C12,Catálogo!$A$3:$B$16,2,FALSE),"No Registrado"))</f>
        <v/>
      </c>
      <c r="E12" s="60"/>
      <c r="F12" s="60"/>
      <c r="G12" s="60" t="str">
        <f t="shared" si="0"/>
        <v/>
      </c>
      <c r="H12" s="61"/>
    </row>
    <row r="13" spans="1:8" ht="21.95" customHeight="1" x14ac:dyDescent="0.25">
      <c r="A13" s="107" t="s">
        <v>55</v>
      </c>
      <c r="B13" s="107"/>
      <c r="C13" s="107"/>
      <c r="D13" s="107"/>
      <c r="E13" s="54">
        <f>SUM(E5:E12)</f>
        <v>125</v>
      </c>
      <c r="F13" s="54">
        <f>SUM(F5:F12)</f>
        <v>70</v>
      </c>
      <c r="G13" s="54">
        <f>SUM(G5:G12)</f>
        <v>195</v>
      </c>
      <c r="H13" s="53" t="str">
        <f>"Disponibilidad Turno: " &amp; TEXT((480-G13)/480,"0.0%")</f>
        <v>Disponibilidad Turno: 59%</v>
      </c>
    </row>
    <row r="14" spans="1:8" ht="15" customHeight="1" x14ac:dyDescent="0.25">
      <c r="A14" s="112"/>
      <c r="B14" s="112"/>
      <c r="C14" s="112"/>
      <c r="D14" s="112"/>
      <c r="E14" s="112"/>
      <c r="F14" s="112"/>
      <c r="G14" s="112"/>
      <c r="H14" s="112"/>
    </row>
    <row r="15" spans="1:8" ht="21.95" customHeight="1" x14ac:dyDescent="0.25">
      <c r="A15" s="17" t="s">
        <v>39</v>
      </c>
      <c r="B15" s="17" t="s">
        <v>56</v>
      </c>
      <c r="C15" s="119" t="s">
        <v>57</v>
      </c>
      <c r="D15" s="119"/>
      <c r="E15" s="17" t="s">
        <v>58</v>
      </c>
      <c r="F15" s="17" t="s">
        <v>59</v>
      </c>
      <c r="G15" s="119" t="s">
        <v>60</v>
      </c>
      <c r="H15" s="119"/>
    </row>
    <row r="16" spans="1:8" ht="21.95" customHeight="1" x14ac:dyDescent="0.25">
      <c r="A16" s="31" t="s">
        <v>61</v>
      </c>
      <c r="B16" s="32" t="s">
        <v>62</v>
      </c>
      <c r="C16" s="124" t="s">
        <v>63</v>
      </c>
      <c r="D16" s="124"/>
      <c r="E16" s="32" t="s">
        <v>64</v>
      </c>
      <c r="F16" s="32" t="s">
        <v>65</v>
      </c>
      <c r="G16" s="120" t="s">
        <v>118</v>
      </c>
      <c r="H16" s="121"/>
    </row>
    <row r="17" spans="1:8" ht="21.95" customHeight="1" x14ac:dyDescent="0.25">
      <c r="A17" s="33" t="s">
        <v>66</v>
      </c>
      <c r="B17" s="22" t="s">
        <v>67</v>
      </c>
      <c r="C17" s="125" t="s">
        <v>63</v>
      </c>
      <c r="D17" s="125"/>
      <c r="E17" s="22" t="s">
        <v>68</v>
      </c>
      <c r="F17" s="22" t="s">
        <v>65</v>
      </c>
      <c r="G17" s="122" t="s">
        <v>119</v>
      </c>
      <c r="H17" s="123"/>
    </row>
    <row r="18" spans="1:8" ht="21.95" customHeight="1" x14ac:dyDescent="0.25">
      <c r="A18" s="173">
        <v>0.41666666666666669</v>
      </c>
      <c r="B18" s="20" t="s">
        <v>114</v>
      </c>
      <c r="C18" s="126" t="s">
        <v>115</v>
      </c>
      <c r="D18" s="126"/>
      <c r="E18" s="20" t="s">
        <v>116</v>
      </c>
      <c r="F18" s="20" t="s">
        <v>65</v>
      </c>
      <c r="G18" s="108" t="s">
        <v>117</v>
      </c>
      <c r="H18" s="109"/>
    </row>
    <row r="19" spans="1:8" ht="21.95" customHeight="1" x14ac:dyDescent="0.25">
      <c r="A19" s="33"/>
      <c r="B19" s="22"/>
      <c r="C19" s="125"/>
      <c r="D19" s="125"/>
      <c r="E19" s="22"/>
      <c r="F19" s="22"/>
      <c r="G19" s="122"/>
      <c r="H19" s="123"/>
    </row>
    <row r="20" spans="1:8" ht="21.95" customHeight="1" x14ac:dyDescent="0.25">
      <c r="A20" s="46"/>
      <c r="B20" s="24"/>
      <c r="C20" s="126"/>
      <c r="D20" s="126"/>
      <c r="E20" s="24"/>
      <c r="F20" s="24"/>
      <c r="G20" s="108"/>
      <c r="H20" s="109"/>
    </row>
    <row r="21" spans="1:8" ht="21.95" customHeight="1" x14ac:dyDescent="0.25">
      <c r="A21" s="47"/>
      <c r="B21" s="48"/>
      <c r="C21" s="110"/>
      <c r="D21" s="110"/>
      <c r="E21" s="48"/>
      <c r="F21" s="48"/>
      <c r="G21" s="110"/>
      <c r="H21" s="111"/>
    </row>
    <row r="22" spans="1:8" ht="24.95" customHeight="1" x14ac:dyDescent="0.25">
      <c r="A22" s="6"/>
      <c r="B22" s="6"/>
      <c r="C22" s="7"/>
      <c r="D22" s="7"/>
      <c r="E22" s="6"/>
      <c r="F22" s="6"/>
      <c r="G22" s="6"/>
      <c r="H22" s="6"/>
    </row>
    <row r="23" spans="1:8" ht="24" customHeight="1" x14ac:dyDescent="0.25">
      <c r="A23" s="105" t="s">
        <v>107</v>
      </c>
      <c r="B23" s="106"/>
      <c r="C23" s="106"/>
      <c r="D23" s="106"/>
      <c r="E23" s="106"/>
      <c r="F23" s="106"/>
      <c r="G23" s="106"/>
      <c r="H23" s="106"/>
    </row>
    <row r="24" spans="1:8" ht="21.95" customHeight="1" x14ac:dyDescent="0.25">
      <c r="A24" s="68" t="s">
        <v>38</v>
      </c>
      <c r="B24" s="68" t="s">
        <v>39</v>
      </c>
      <c r="C24" s="68" t="s">
        <v>40</v>
      </c>
      <c r="D24" s="68" t="s">
        <v>41</v>
      </c>
      <c r="E24" s="68" t="s">
        <v>42</v>
      </c>
      <c r="F24" s="68" t="s">
        <v>43</v>
      </c>
      <c r="G24" s="68" t="s">
        <v>44</v>
      </c>
      <c r="H24" s="68" t="s">
        <v>45</v>
      </c>
    </row>
    <row r="25" spans="1:8" ht="21.95" customHeight="1" x14ac:dyDescent="0.25">
      <c r="A25" s="64" t="s">
        <v>69</v>
      </c>
      <c r="B25" s="65" t="s">
        <v>70</v>
      </c>
      <c r="C25" s="65" t="s">
        <v>9</v>
      </c>
      <c r="D25" s="65" t="str">
        <f>IF(C25="","",IFERROR(VLOOKUP(C25,Catálogo!$A$3:$B$16,2,FALSE),"No Registrado"))</f>
        <v>Falla Eléctrica / Sensores</v>
      </c>
      <c r="E25" s="66">
        <v>25</v>
      </c>
      <c r="F25" s="66">
        <v>10</v>
      </c>
      <c r="G25" s="66">
        <f t="shared" ref="G25:G26" si="1">IF(AND(E25="",F25=""),"",SUM(E25,F25))</f>
        <v>35</v>
      </c>
      <c r="H25" s="67" t="s">
        <v>71</v>
      </c>
    </row>
    <row r="26" spans="1:8" ht="21.95" customHeight="1" x14ac:dyDescent="0.25">
      <c r="A26" s="33" t="s">
        <v>69</v>
      </c>
      <c r="B26" s="22" t="s">
        <v>72</v>
      </c>
      <c r="C26" s="22" t="s">
        <v>25</v>
      </c>
      <c r="D26" s="22" t="str">
        <f>IF(C26="","",IFERROR(VLOOKUP(C26,Catálogo!$A$3:$B$16,2,FALSE),"No Registrado"))</f>
        <v>Vacío Horno / Falta carga L-2</v>
      </c>
      <c r="E26" s="27">
        <v>0</v>
      </c>
      <c r="F26" s="27">
        <v>20</v>
      </c>
      <c r="G26" s="27">
        <f t="shared" si="1"/>
        <v>20</v>
      </c>
      <c r="H26" s="39" t="s">
        <v>73</v>
      </c>
    </row>
    <row r="27" spans="1:8" ht="21.95" customHeight="1" x14ac:dyDescent="0.25">
      <c r="A27" s="40"/>
      <c r="B27" s="25"/>
      <c r="C27" s="25"/>
      <c r="D27" s="25"/>
      <c r="E27" s="26"/>
      <c r="F27" s="26"/>
      <c r="G27" s="26"/>
      <c r="H27" s="41"/>
    </row>
    <row r="28" spans="1:8" ht="21.95" customHeight="1" x14ac:dyDescent="0.25">
      <c r="A28" s="33"/>
      <c r="B28" s="22"/>
      <c r="C28" s="22"/>
      <c r="D28" s="22"/>
      <c r="E28" s="27"/>
      <c r="F28" s="27"/>
      <c r="G28" s="27"/>
      <c r="H28" s="39"/>
    </row>
    <row r="29" spans="1:8" ht="21.95" customHeight="1" x14ac:dyDescent="0.25">
      <c r="A29" s="40"/>
      <c r="B29" s="25"/>
      <c r="C29" s="25"/>
      <c r="D29" s="25"/>
      <c r="E29" s="26"/>
      <c r="F29" s="26"/>
      <c r="G29" s="26"/>
      <c r="H29" s="41"/>
    </row>
    <row r="30" spans="1:8" ht="21.95" customHeight="1" x14ac:dyDescent="0.25">
      <c r="A30" s="33"/>
      <c r="B30" s="22"/>
      <c r="C30" s="22"/>
      <c r="D30" s="22"/>
      <c r="E30" s="27"/>
      <c r="F30" s="27"/>
      <c r="G30" s="27"/>
      <c r="H30" s="39"/>
    </row>
    <row r="31" spans="1:8" ht="21.95" customHeight="1" x14ac:dyDescent="0.25">
      <c r="A31" s="40"/>
      <c r="B31" s="25"/>
      <c r="C31" s="25"/>
      <c r="D31" s="25"/>
      <c r="E31" s="26"/>
      <c r="F31" s="26"/>
      <c r="G31" s="26"/>
      <c r="H31" s="41"/>
    </row>
    <row r="32" spans="1:8" ht="21.95" customHeight="1" x14ac:dyDescent="0.25">
      <c r="A32" s="57"/>
      <c r="B32" s="58"/>
      <c r="C32" s="58"/>
      <c r="D32" s="58"/>
      <c r="E32" s="56"/>
      <c r="F32" s="56"/>
      <c r="G32" s="56"/>
      <c r="H32" s="55"/>
    </row>
    <row r="33" spans="1:8" ht="21.95" customHeight="1" x14ac:dyDescent="0.25">
      <c r="A33" s="107" t="s">
        <v>74</v>
      </c>
      <c r="B33" s="107"/>
      <c r="C33" s="107"/>
      <c r="D33" s="107"/>
      <c r="E33" s="54">
        <f>SUM(E25:E32)</f>
        <v>25</v>
      </c>
      <c r="F33" s="54">
        <f>SUM(F25:F32)</f>
        <v>30</v>
      </c>
      <c r="G33" s="54">
        <f>SUM(G25:G32)</f>
        <v>55</v>
      </c>
      <c r="H33" s="53" t="str">
        <f>"Disponibilidad Turno: " &amp; TEXT((480-G33)/480,"0.0%")</f>
        <v>Disponibilidad Turno: 89%</v>
      </c>
    </row>
    <row r="34" spans="1:8" ht="15" customHeight="1" x14ac:dyDescent="0.25">
      <c r="A34" s="101"/>
      <c r="B34" s="102"/>
      <c r="C34" s="102"/>
      <c r="D34" s="102"/>
      <c r="E34" s="102"/>
      <c r="F34" s="102"/>
      <c r="G34" s="102"/>
      <c r="H34" s="59"/>
    </row>
    <row r="35" spans="1:8" ht="21.95" customHeight="1" x14ac:dyDescent="0.25">
      <c r="A35" s="18" t="s">
        <v>39</v>
      </c>
      <c r="B35" s="18" t="s">
        <v>56</v>
      </c>
      <c r="C35" s="140" t="s">
        <v>57</v>
      </c>
      <c r="D35" s="141"/>
      <c r="E35" s="18" t="s">
        <v>58</v>
      </c>
      <c r="F35" s="18" t="s">
        <v>59</v>
      </c>
      <c r="G35" s="130" t="s">
        <v>60</v>
      </c>
      <c r="H35" s="130"/>
    </row>
    <row r="36" spans="1:8" ht="21.95" customHeight="1" x14ac:dyDescent="0.25">
      <c r="A36" s="31" t="s">
        <v>75</v>
      </c>
      <c r="B36" s="44" t="s">
        <v>76</v>
      </c>
      <c r="C36" s="124" t="s">
        <v>77</v>
      </c>
      <c r="D36" s="124"/>
      <c r="E36" s="44" t="s">
        <v>78</v>
      </c>
      <c r="F36" s="32" t="s">
        <v>65</v>
      </c>
      <c r="G36" s="120"/>
      <c r="H36" s="121"/>
    </row>
    <row r="37" spans="1:8" ht="21.95" customHeight="1" x14ac:dyDescent="0.25">
      <c r="A37" s="33"/>
      <c r="B37" s="23"/>
      <c r="C37" s="125"/>
      <c r="D37" s="125"/>
      <c r="E37" s="23"/>
      <c r="F37" s="22"/>
      <c r="G37" s="122"/>
      <c r="H37" s="123"/>
    </row>
    <row r="38" spans="1:8" ht="21.95" customHeight="1" x14ac:dyDescent="0.25">
      <c r="A38" s="34"/>
      <c r="B38" s="21"/>
      <c r="C38" s="126"/>
      <c r="D38" s="126"/>
      <c r="E38" s="21"/>
      <c r="F38" s="20"/>
      <c r="G38" s="108"/>
      <c r="H38" s="109"/>
    </row>
    <row r="39" spans="1:8" ht="21.95" customHeight="1" x14ac:dyDescent="0.25">
      <c r="A39" s="33"/>
      <c r="B39" s="23"/>
      <c r="C39" s="125"/>
      <c r="D39" s="125"/>
      <c r="E39" s="23"/>
      <c r="F39" s="22"/>
      <c r="G39" s="122"/>
      <c r="H39" s="123"/>
    </row>
    <row r="40" spans="1:8" ht="21.95" customHeight="1" x14ac:dyDescent="0.25">
      <c r="A40" s="40"/>
      <c r="B40" s="28"/>
      <c r="C40" s="142"/>
      <c r="D40" s="142"/>
      <c r="E40" s="28"/>
      <c r="F40" s="25"/>
      <c r="G40" s="127"/>
      <c r="H40" s="128"/>
    </row>
    <row r="41" spans="1:8" ht="21.95" customHeight="1" x14ac:dyDescent="0.25">
      <c r="A41" s="42"/>
      <c r="B41" s="45"/>
      <c r="C41" s="143"/>
      <c r="D41" s="143"/>
      <c r="E41" s="45"/>
      <c r="F41" s="43"/>
      <c r="G41" s="110"/>
      <c r="H41" s="111"/>
    </row>
    <row r="42" spans="1:8" ht="24.95" customHeight="1" x14ac:dyDescent="0.25">
      <c r="A42" s="129"/>
      <c r="B42" s="129"/>
      <c r="C42" s="129"/>
      <c r="D42" s="129"/>
      <c r="E42" s="129"/>
      <c r="F42" s="129"/>
      <c r="G42" s="129"/>
      <c r="H42" s="129"/>
    </row>
    <row r="43" spans="1:8" ht="24" customHeight="1" x14ac:dyDescent="0.25">
      <c r="A43" s="113" t="s">
        <v>108</v>
      </c>
      <c r="B43" s="114"/>
      <c r="C43" s="114"/>
      <c r="D43" s="114"/>
      <c r="E43" s="114"/>
      <c r="F43" s="114"/>
      <c r="G43" s="114"/>
      <c r="H43" s="115"/>
    </row>
    <row r="44" spans="1:8" ht="21.95" customHeight="1" x14ac:dyDescent="0.25">
      <c r="A44" s="68" t="s">
        <v>38</v>
      </c>
      <c r="B44" s="68" t="s">
        <v>39</v>
      </c>
      <c r="C44" s="68" t="s">
        <v>40</v>
      </c>
      <c r="D44" s="68" t="s">
        <v>41</v>
      </c>
      <c r="E44" s="68" t="s">
        <v>42</v>
      </c>
      <c r="F44" s="68" t="s">
        <v>43</v>
      </c>
      <c r="G44" s="68" t="s">
        <v>44</v>
      </c>
      <c r="H44" s="68" t="s">
        <v>45</v>
      </c>
    </row>
    <row r="45" spans="1:8" ht="18.95" customHeight="1" x14ac:dyDescent="0.25">
      <c r="A45" s="64" t="s">
        <v>79</v>
      </c>
      <c r="B45" s="65" t="s">
        <v>80</v>
      </c>
      <c r="C45" s="65" t="s">
        <v>4</v>
      </c>
      <c r="D45" s="65" t="str">
        <f>IF(C45="","",IFERROR(VLOOKUP(C45,Catálogo!$A$3:$B$16,2,FALSE),"No Registrado"))</f>
        <v>Falla Mecánica General</v>
      </c>
      <c r="E45" s="66">
        <v>30</v>
      </c>
      <c r="F45" s="66">
        <v>15</v>
      </c>
      <c r="G45" s="66">
        <f t="shared" ref="G45:G52" si="2">IF(AND(E45="",F45=""),"",SUM(E45,F45))</f>
        <v>45</v>
      </c>
      <c r="H45" s="67" t="s">
        <v>81</v>
      </c>
    </row>
    <row r="46" spans="1:8" ht="18.95" customHeight="1" x14ac:dyDescent="0.25">
      <c r="A46" s="33" t="s">
        <v>79</v>
      </c>
      <c r="B46" s="22" t="s">
        <v>82</v>
      </c>
      <c r="C46" s="22" t="s">
        <v>23</v>
      </c>
      <c r="D46" s="22" t="str">
        <f>IF(C46="","",IFERROR(VLOOKUP(C46,Catálogo!$A$3:$B$16,2,FALSE),"No Registrado"))</f>
        <v>Falla Eléctrica Distribución</v>
      </c>
      <c r="E46" s="27">
        <v>10</v>
      </c>
      <c r="F46" s="27">
        <v>0</v>
      </c>
      <c r="G46" s="27">
        <f t="shared" si="2"/>
        <v>10</v>
      </c>
      <c r="H46" s="39" t="s">
        <v>83</v>
      </c>
    </row>
    <row r="47" spans="1:8" ht="18.95" customHeight="1" x14ac:dyDescent="0.25">
      <c r="A47" s="40" t="s">
        <v>79</v>
      </c>
      <c r="B47" s="170">
        <v>0.1875</v>
      </c>
      <c r="C47" s="25" t="s">
        <v>28</v>
      </c>
      <c r="D47" s="25" t="str">
        <f>IF(C47="","",IFERROR(VLOOKUP(C47,Catálogo!$A$3:$B$16,2,FALSE),"No Registrado"))</f>
        <v>Vacío Horno - Regulación Térmica</v>
      </c>
      <c r="E47" s="26">
        <v>40</v>
      </c>
      <c r="F47" s="26">
        <v>20</v>
      </c>
      <c r="G47" s="26">
        <f t="shared" si="2"/>
        <v>60</v>
      </c>
      <c r="H47" s="41" t="s">
        <v>111</v>
      </c>
    </row>
    <row r="48" spans="1:8" ht="18.95" customHeight="1" x14ac:dyDescent="0.25">
      <c r="A48" s="33"/>
      <c r="B48" s="22"/>
      <c r="C48" s="22"/>
      <c r="D48" s="22" t="str">
        <f>IF(C48="","",IFERROR(VLOOKUP(C48,Catálogo!$A$3:$B$16,2,FALSE),"No Registrado"))</f>
        <v/>
      </c>
      <c r="E48" s="27"/>
      <c r="F48" s="27"/>
      <c r="G48" s="27" t="str">
        <f t="shared" si="2"/>
        <v/>
      </c>
      <c r="H48" s="39"/>
    </row>
    <row r="49" spans="1:9" ht="18.95" customHeight="1" x14ac:dyDescent="0.25">
      <c r="A49" s="40"/>
      <c r="B49" s="25"/>
      <c r="C49" s="25"/>
      <c r="D49" s="25" t="str">
        <f>IF(C49="","",IFERROR(VLOOKUP(C49,Catálogo!$A$3:$B$16,2,FALSE),"No Registrado"))</f>
        <v/>
      </c>
      <c r="E49" s="26"/>
      <c r="F49" s="26"/>
      <c r="G49" s="26" t="str">
        <f t="shared" si="2"/>
        <v/>
      </c>
      <c r="H49" s="41"/>
    </row>
    <row r="50" spans="1:9" ht="18.95" customHeight="1" x14ac:dyDescent="0.25">
      <c r="A50" s="33"/>
      <c r="B50" s="22"/>
      <c r="C50" s="22"/>
      <c r="D50" s="22" t="str">
        <f>IF(C50="","",IFERROR(VLOOKUP(C50,Catálogo!$A$3:$B$16,2,FALSE),"No Registrado"))</f>
        <v/>
      </c>
      <c r="E50" s="27"/>
      <c r="F50" s="27"/>
      <c r="G50" s="27" t="str">
        <f t="shared" si="2"/>
        <v/>
      </c>
      <c r="H50" s="39"/>
    </row>
    <row r="51" spans="1:9" ht="18.95" customHeight="1" x14ac:dyDescent="0.25">
      <c r="A51" s="40"/>
      <c r="B51" s="25"/>
      <c r="C51" s="25"/>
      <c r="D51" s="25" t="str">
        <f>IF(C51="","",IFERROR(VLOOKUP(C51,Catálogo!$A$3:$B$16,2,FALSE),"No Registrado"))</f>
        <v/>
      </c>
      <c r="E51" s="26"/>
      <c r="F51" s="26"/>
      <c r="G51" s="26" t="str">
        <f t="shared" si="2"/>
        <v/>
      </c>
      <c r="H51" s="41"/>
    </row>
    <row r="52" spans="1:9" ht="18.95" customHeight="1" x14ac:dyDescent="0.25">
      <c r="A52" s="57"/>
      <c r="B52" s="58"/>
      <c r="C52" s="58"/>
      <c r="D52" s="58" t="str">
        <f>IF(C52="","",IFERROR(VLOOKUP(C52,Catálogo!$A$3:$B$16,2,FALSE),"No Registrado"))</f>
        <v/>
      </c>
      <c r="E52" s="56"/>
      <c r="F52" s="56"/>
      <c r="G52" s="56" t="str">
        <f t="shared" si="2"/>
        <v/>
      </c>
      <c r="H52" s="55"/>
    </row>
    <row r="53" spans="1:9" ht="21.95" customHeight="1" x14ac:dyDescent="0.25">
      <c r="A53" s="107" t="s">
        <v>84</v>
      </c>
      <c r="B53" s="107"/>
      <c r="C53" s="107"/>
      <c r="D53" s="107"/>
      <c r="E53" s="54">
        <f>SUM(E45:E52)</f>
        <v>80</v>
      </c>
      <c r="F53" s="54">
        <f>SUM(F45:F52)</f>
        <v>35</v>
      </c>
      <c r="G53" s="54">
        <f>SUM(G45:G52)</f>
        <v>115</v>
      </c>
      <c r="H53" s="53" t="str">
        <f>"Disponibilidad Turno: " &amp; TEXT((480-G53)/480,"0.0%")</f>
        <v>Disponibilidad Turno: 76%</v>
      </c>
      <c r="I53" s="15"/>
    </row>
    <row r="54" spans="1:9" ht="15" customHeight="1" x14ac:dyDescent="0.25">
      <c r="A54" s="116"/>
      <c r="B54" s="102"/>
      <c r="C54" s="102"/>
      <c r="D54" s="102"/>
      <c r="E54" s="102"/>
      <c r="F54" s="102"/>
      <c r="G54" s="102"/>
      <c r="H54" s="59"/>
    </row>
    <row r="55" spans="1:9" ht="21.95" customHeight="1" x14ac:dyDescent="0.25">
      <c r="A55" s="19" t="s">
        <v>39</v>
      </c>
      <c r="B55" s="19" t="s">
        <v>56</v>
      </c>
      <c r="C55" s="132" t="s">
        <v>57</v>
      </c>
      <c r="D55" s="132"/>
      <c r="E55" s="19" t="s">
        <v>58</v>
      </c>
      <c r="F55" s="19" t="s">
        <v>59</v>
      </c>
      <c r="G55" s="132" t="s">
        <v>60</v>
      </c>
      <c r="H55" s="132"/>
    </row>
    <row r="56" spans="1:9" ht="21.95" customHeight="1" x14ac:dyDescent="0.25">
      <c r="A56" s="31" t="s">
        <v>85</v>
      </c>
      <c r="B56" s="32" t="s">
        <v>86</v>
      </c>
      <c r="C56" s="124" t="s">
        <v>87</v>
      </c>
      <c r="D56" s="124"/>
      <c r="E56" s="32" t="s">
        <v>88</v>
      </c>
      <c r="F56" s="32" t="s">
        <v>89</v>
      </c>
      <c r="G56" s="133"/>
      <c r="H56" s="134"/>
    </row>
    <row r="57" spans="1:9" ht="21.95" customHeight="1" x14ac:dyDescent="0.25">
      <c r="A57" s="33"/>
      <c r="B57" s="22"/>
      <c r="C57" s="125"/>
      <c r="D57" s="125"/>
      <c r="E57" s="22"/>
      <c r="F57" s="22"/>
      <c r="G57" s="135"/>
      <c r="H57" s="136"/>
    </row>
    <row r="58" spans="1:9" ht="21.95" customHeight="1" x14ac:dyDescent="0.25">
      <c r="A58" s="34"/>
      <c r="B58" s="20"/>
      <c r="C58" s="126"/>
      <c r="D58" s="126"/>
      <c r="E58" s="20"/>
      <c r="F58" s="20"/>
      <c r="G58" s="131"/>
      <c r="H58" s="137"/>
    </row>
    <row r="59" spans="1:9" ht="21.95" customHeight="1" x14ac:dyDescent="0.25">
      <c r="A59" s="33"/>
      <c r="B59" s="22"/>
      <c r="C59" s="125"/>
      <c r="D59" s="125"/>
      <c r="E59" s="22"/>
      <c r="F59" s="22"/>
      <c r="G59" s="135"/>
      <c r="H59" s="136"/>
    </row>
    <row r="60" spans="1:9" ht="21.95" customHeight="1" x14ac:dyDescent="0.25">
      <c r="A60" s="35"/>
      <c r="B60" s="29"/>
      <c r="C60" s="131"/>
      <c r="D60" s="131"/>
      <c r="E60" s="29"/>
      <c r="F60" s="29"/>
      <c r="G60" s="131"/>
      <c r="H60" s="137"/>
    </row>
    <row r="61" spans="1:9" ht="21.95" customHeight="1" x14ac:dyDescent="0.25">
      <c r="A61" s="36"/>
      <c r="B61" s="30"/>
      <c r="C61" s="135"/>
      <c r="D61" s="135"/>
      <c r="E61" s="30"/>
      <c r="F61" s="30"/>
      <c r="G61" s="135"/>
      <c r="H61" s="136"/>
    </row>
    <row r="62" spans="1:9" ht="21.95" customHeight="1" x14ac:dyDescent="0.25">
      <c r="A62" s="37"/>
      <c r="B62" s="38"/>
      <c r="C62" s="138"/>
      <c r="D62" s="138"/>
      <c r="E62" s="38"/>
      <c r="F62" s="38"/>
      <c r="G62" s="138"/>
      <c r="H62" s="139"/>
    </row>
    <row r="63" spans="1:9" ht="21.95" customHeight="1" x14ac:dyDescent="0.25">
      <c r="A63" s="16"/>
      <c r="B63" s="16"/>
      <c r="C63" s="16"/>
      <c r="D63" s="16"/>
      <c r="E63" s="16"/>
      <c r="F63" s="16"/>
      <c r="G63" s="16"/>
      <c r="H63" s="16"/>
    </row>
    <row r="64" spans="1:9" x14ac:dyDescent="0.25">
      <c r="A64" s="16"/>
      <c r="B64" s="16"/>
      <c r="C64" s="16"/>
      <c r="D64" s="16"/>
      <c r="E64" s="16"/>
      <c r="F64" s="16"/>
      <c r="G64" s="16"/>
      <c r="H64" s="16"/>
    </row>
  </sheetData>
  <mergeCells count="55">
    <mergeCell ref="C61:D61"/>
    <mergeCell ref="C62:D62"/>
    <mergeCell ref="C21:D21"/>
    <mergeCell ref="G60:H60"/>
    <mergeCell ref="G61:H61"/>
    <mergeCell ref="G62:H62"/>
    <mergeCell ref="C35:D35"/>
    <mergeCell ref="C36:D36"/>
    <mergeCell ref="C37:D37"/>
    <mergeCell ref="C38:D38"/>
    <mergeCell ref="C39:D39"/>
    <mergeCell ref="C40:D40"/>
    <mergeCell ref="C41:D41"/>
    <mergeCell ref="C55:D55"/>
    <mergeCell ref="C56:D56"/>
    <mergeCell ref="C57:D57"/>
    <mergeCell ref="C58:D58"/>
    <mergeCell ref="C59:D59"/>
    <mergeCell ref="C60:D60"/>
    <mergeCell ref="G55:H55"/>
    <mergeCell ref="G56:H56"/>
    <mergeCell ref="G57:H57"/>
    <mergeCell ref="G58:H58"/>
    <mergeCell ref="G59:H59"/>
    <mergeCell ref="G39:H39"/>
    <mergeCell ref="G40:H40"/>
    <mergeCell ref="A42:H42"/>
    <mergeCell ref="G41:H41"/>
    <mergeCell ref="G35:H35"/>
    <mergeCell ref="G36:H36"/>
    <mergeCell ref="G37:H37"/>
    <mergeCell ref="G38:H38"/>
    <mergeCell ref="A43:H43"/>
    <mergeCell ref="A54:G54"/>
    <mergeCell ref="A53:D53"/>
    <mergeCell ref="A1:H1"/>
    <mergeCell ref="A13:D13"/>
    <mergeCell ref="G15:H15"/>
    <mergeCell ref="G16:H16"/>
    <mergeCell ref="G17:H17"/>
    <mergeCell ref="C15:D15"/>
    <mergeCell ref="C16:D16"/>
    <mergeCell ref="C17:D17"/>
    <mergeCell ref="C18:D18"/>
    <mergeCell ref="C19:D19"/>
    <mergeCell ref="C20:D20"/>
    <mergeCell ref="G18:H18"/>
    <mergeCell ref="G19:H19"/>
    <mergeCell ref="A34:G34"/>
    <mergeCell ref="A3:H3"/>
    <mergeCell ref="A23:H23"/>
    <mergeCell ref="A33:D33"/>
    <mergeCell ref="G20:H20"/>
    <mergeCell ref="G21:H21"/>
    <mergeCell ref="A14:H14"/>
  </mergeCells>
  <phoneticPr fontId="13" type="noConversion"/>
  <dataValidations count="2">
    <dataValidation type="list" allowBlank="1" sqref="A5:A12 A45:A52 A25:A32" xr:uid="{00000000-0002-0000-0100-000000000000}">
      <formula1>"Mañana,Tarde,Noche"</formula1>
    </dataValidation>
    <dataValidation type="list" allowBlank="1" sqref="F16:F19 F56:F59 F36:F41" xr:uid="{00000000-0002-0000-0100-000002000000}">
      <formula1>"Cerrado,En Proceso,Pendiente"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1000000}">
          <x14:formula1>
            <xm:f>Catálogo!$A$3:$A$16</xm:f>
          </x14:formula1>
          <xm:sqref>C5:C12 C45:C52 C25:C32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3"/>
  <sheetViews>
    <sheetView topLeftCell="A4" workbookViewId="0">
      <selection activeCell="B21" sqref="B21"/>
    </sheetView>
  </sheetViews>
  <sheetFormatPr baseColWidth="10" defaultColWidth="9.140625" defaultRowHeight="15" x14ac:dyDescent="0.25"/>
  <cols>
    <col min="1" max="1" width="3.7109375" customWidth="1"/>
    <col min="2" max="2" width="12" customWidth="1"/>
    <col min="3" max="3" width="30" customWidth="1"/>
    <col min="4" max="5" width="15" customWidth="1"/>
    <col min="6" max="6" width="16" customWidth="1"/>
    <col min="7" max="7" width="18" customWidth="1"/>
    <col min="8" max="8" width="14" customWidth="1"/>
    <col min="9" max="9" width="5.42578125" customWidth="1"/>
    <col min="10" max="12" width="15" customWidth="1"/>
  </cols>
  <sheetData>
    <row r="1" spans="2:12" ht="33.950000000000003" customHeight="1" x14ac:dyDescent="0.25">
      <c r="B1" s="99" t="s">
        <v>90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</row>
    <row r="2" spans="2:12" ht="15.75" thickBot="1" x14ac:dyDescent="0.3">
      <c r="B2" s="15"/>
      <c r="C2" s="15"/>
      <c r="K2" s="15"/>
    </row>
    <row r="3" spans="2:12" ht="18" customHeight="1" thickTop="1" x14ac:dyDescent="0.25">
      <c r="B3" s="153" t="s">
        <v>91</v>
      </c>
      <c r="C3" s="154"/>
      <c r="E3" s="151" t="s">
        <v>92</v>
      </c>
      <c r="F3" s="152"/>
      <c r="H3" s="155"/>
      <c r="I3" s="156"/>
      <c r="K3" s="155"/>
      <c r="L3" s="156"/>
    </row>
    <row r="4" spans="2:12" ht="27.95" customHeight="1" x14ac:dyDescent="0.4">
      <c r="B4" s="157">
        <f>'Registro Diario'!E13+'Registro Diario'!E33+'Registro Diario'!E53</f>
        <v>230</v>
      </c>
      <c r="C4" s="147"/>
      <c r="E4" s="146">
        <f>'Registro Diario'!F13+'Registro Diario'!F33+'Registro Diario'!F53</f>
        <v>135</v>
      </c>
      <c r="F4" s="147"/>
      <c r="H4" s="158"/>
      <c r="I4" s="159"/>
      <c r="K4" s="160"/>
      <c r="L4" s="161"/>
    </row>
    <row r="5" spans="2:12" ht="18" customHeight="1" x14ac:dyDescent="0.25">
      <c r="B5" s="164" t="s">
        <v>109</v>
      </c>
      <c r="C5" s="165"/>
      <c r="E5" s="164" t="s">
        <v>110</v>
      </c>
      <c r="F5" s="165"/>
      <c r="H5" s="144"/>
      <c r="I5" s="145"/>
      <c r="K5" s="162"/>
      <c r="L5" s="163"/>
    </row>
    <row r="7" spans="2:12" ht="21.95" customHeight="1" x14ac:dyDescent="0.25">
      <c r="B7" s="148" t="s">
        <v>93</v>
      </c>
      <c r="C7" s="100"/>
      <c r="D7" s="100"/>
      <c r="E7" s="100"/>
      <c r="F7" s="100"/>
      <c r="G7" s="100"/>
      <c r="H7" s="100"/>
    </row>
    <row r="8" spans="2:12" ht="21.95" customHeight="1" x14ac:dyDescent="0.25">
      <c r="B8" s="73" t="s">
        <v>38</v>
      </c>
      <c r="C8" s="73" t="s">
        <v>94</v>
      </c>
      <c r="D8" s="73" t="s">
        <v>95</v>
      </c>
      <c r="E8" s="73" t="s">
        <v>43</v>
      </c>
      <c r="F8" s="73" t="s">
        <v>96</v>
      </c>
      <c r="G8" s="73" t="s">
        <v>97</v>
      </c>
      <c r="H8" s="73" t="s">
        <v>98</v>
      </c>
    </row>
    <row r="9" spans="2:12" ht="21.95" customHeight="1" x14ac:dyDescent="0.25">
      <c r="B9" s="74" t="s">
        <v>46</v>
      </c>
      <c r="C9" s="74" t="s">
        <v>99</v>
      </c>
      <c r="D9" s="79">
        <f>'Registro Diario'!E13</f>
        <v>125</v>
      </c>
      <c r="E9" s="79">
        <f>'Registro Diario'!F13</f>
        <v>70</v>
      </c>
      <c r="F9" s="79">
        <f>480-(D9+E9)</f>
        <v>285</v>
      </c>
      <c r="G9" s="80">
        <f>F9/480</f>
        <v>0.59375</v>
      </c>
      <c r="H9" s="74">
        <f>COUNTA('Registro Diario'!B5:B12)</f>
        <v>6</v>
      </c>
    </row>
    <row r="10" spans="2:12" ht="21.95" customHeight="1" x14ac:dyDescent="0.25">
      <c r="B10" s="75" t="s">
        <v>69</v>
      </c>
      <c r="C10" s="75" t="s">
        <v>99</v>
      </c>
      <c r="D10" s="81">
        <f>'Registro Diario'!E33</f>
        <v>25</v>
      </c>
      <c r="E10" s="81">
        <f>'Registro Diario'!F33</f>
        <v>30</v>
      </c>
      <c r="F10" s="81">
        <f>480-(D10+E10)</f>
        <v>425</v>
      </c>
      <c r="G10" s="82">
        <f>F10/480</f>
        <v>0.88541666666666663</v>
      </c>
      <c r="H10" s="75">
        <f>COUNTA('Registro Diario'!B25:B32)</f>
        <v>2</v>
      </c>
    </row>
    <row r="11" spans="2:12" ht="21.95" customHeight="1" thickBot="1" x14ac:dyDescent="0.3">
      <c r="B11" s="76" t="s">
        <v>79</v>
      </c>
      <c r="C11" s="76" t="s">
        <v>99</v>
      </c>
      <c r="D11" s="83">
        <f>'Registro Diario'!E53</f>
        <v>80</v>
      </c>
      <c r="E11" s="83">
        <f>'Registro Diario'!F53</f>
        <v>35</v>
      </c>
      <c r="F11" s="83">
        <f>480-(D11+E11)</f>
        <v>365</v>
      </c>
      <c r="G11" s="84">
        <f>F11/480</f>
        <v>0.76041666666666663</v>
      </c>
      <c r="H11" s="76">
        <f>COUNTA('Registro Diario'!B45:B52)</f>
        <v>3</v>
      </c>
    </row>
    <row r="12" spans="2:12" ht="21.95" customHeight="1" thickBot="1" x14ac:dyDescent="0.3">
      <c r="B12" s="10" t="s">
        <v>100</v>
      </c>
      <c r="C12" s="10" t="s">
        <v>101</v>
      </c>
      <c r="D12" s="85">
        <f>SUM(D9:D11)</f>
        <v>230</v>
      </c>
      <c r="E12" s="85">
        <f>SUM(E9:E11)</f>
        <v>135</v>
      </c>
      <c r="F12" s="85">
        <f>SUM(F9:F11)</f>
        <v>1075</v>
      </c>
      <c r="G12" s="86">
        <f>F12/1440</f>
        <v>0.74652777777777779</v>
      </c>
      <c r="H12" s="12">
        <f>SUM(H9:H11)</f>
        <v>11</v>
      </c>
    </row>
    <row r="13" spans="2:12" ht="15.75" thickTop="1" x14ac:dyDescent="0.25"/>
    <row r="14" spans="2:12" ht="21.95" customHeight="1" x14ac:dyDescent="0.25">
      <c r="B14" s="149" t="s">
        <v>102</v>
      </c>
      <c r="C14" s="150"/>
      <c r="D14" s="150"/>
      <c r="E14" s="150"/>
      <c r="F14" s="150"/>
    </row>
    <row r="15" spans="2:12" ht="21.95" customHeight="1" x14ac:dyDescent="0.25">
      <c r="B15" s="91" t="s">
        <v>1</v>
      </c>
      <c r="C15" s="92" t="s">
        <v>103</v>
      </c>
      <c r="D15" s="8" t="s">
        <v>104</v>
      </c>
      <c r="E15" s="168" t="s">
        <v>105</v>
      </c>
      <c r="F15" s="169"/>
    </row>
    <row r="16" spans="2:12" ht="21.95" customHeight="1" x14ac:dyDescent="0.25">
      <c r="B16" s="89" t="s">
        <v>7</v>
      </c>
      <c r="C16" s="90" t="s">
        <v>8</v>
      </c>
      <c r="D16" s="77">
        <f>SUMIF('Registro Diario'!$C$5:$C$52, B16, 'Registro Diario'!$G$5:$G$52)</f>
        <v>75</v>
      </c>
      <c r="E16" s="166">
        <f t="shared" ref="E16:E21" si="0">IF(($D$12+$E$12)=0, 0, D16/($D$12+$E$12))</f>
        <v>0.20547945205479451</v>
      </c>
      <c r="F16" s="167"/>
    </row>
    <row r="17" spans="2:6" ht="21.95" customHeight="1" x14ac:dyDescent="0.25">
      <c r="B17" s="87" t="s">
        <v>25</v>
      </c>
      <c r="C17" s="88" t="s">
        <v>26</v>
      </c>
      <c r="D17" s="78">
        <f>SUMIF('Registro Diario'!$C$5:$C$52, B17, 'Registro Diario'!$G$5:$G$52)</f>
        <v>55</v>
      </c>
      <c r="E17" s="166">
        <f t="shared" si="0"/>
        <v>0.15068493150684931</v>
      </c>
      <c r="F17" s="167"/>
    </row>
    <row r="18" spans="2:6" ht="21.95" customHeight="1" x14ac:dyDescent="0.25">
      <c r="B18" s="89" t="s">
        <v>15</v>
      </c>
      <c r="C18" s="90" t="s">
        <v>16</v>
      </c>
      <c r="D18" s="77">
        <f>SUMIF('Registro Diario'!$C$5:$C$52, B18, 'Registro Diario'!$G$5:$G$52)</f>
        <v>35</v>
      </c>
      <c r="E18" s="166">
        <f t="shared" si="0"/>
        <v>9.5890410958904104E-2</v>
      </c>
      <c r="F18" s="167"/>
    </row>
    <row r="19" spans="2:6" ht="21.95" customHeight="1" x14ac:dyDescent="0.25">
      <c r="B19" s="87" t="s">
        <v>13</v>
      </c>
      <c r="C19" s="88" t="s">
        <v>14</v>
      </c>
      <c r="D19" s="78">
        <f>SUMIF('Registro Diario'!$C$5:$C$52, B19, 'Registro Diario'!$G$5:$G$52)</f>
        <v>30</v>
      </c>
      <c r="E19" s="166">
        <f t="shared" si="0"/>
        <v>8.2191780821917804E-2</v>
      </c>
      <c r="F19" s="167"/>
    </row>
    <row r="20" spans="2:6" ht="21.95" customHeight="1" x14ac:dyDescent="0.25">
      <c r="B20" s="89" t="s">
        <v>4</v>
      </c>
      <c r="C20" s="90" t="s">
        <v>5</v>
      </c>
      <c r="D20" s="77">
        <f>SUMIF('Registro Diario'!$C$5:$C$52, B20, 'Registro Diario'!$G$5:$G$52)</f>
        <v>65</v>
      </c>
      <c r="E20" s="166">
        <f t="shared" si="0"/>
        <v>0.17808219178082191</v>
      </c>
      <c r="F20" s="167"/>
    </row>
    <row r="21" spans="2:6" ht="21.95" customHeight="1" x14ac:dyDescent="0.25">
      <c r="B21" s="93" t="s">
        <v>9</v>
      </c>
      <c r="C21" s="94" t="s">
        <v>10</v>
      </c>
      <c r="D21" s="78">
        <f>SUMIF('Registro Diario'!$C$5:$C$52, B21, 'Registro Diario'!$G$5:$G$52)</f>
        <v>35</v>
      </c>
      <c r="E21" s="166">
        <f t="shared" si="0"/>
        <v>9.5890410958904104E-2</v>
      </c>
      <c r="F21" s="167"/>
    </row>
    <row r="22" spans="2:6" x14ac:dyDescent="0.25">
      <c r="B22" s="95"/>
      <c r="C22" s="96"/>
    </row>
    <row r="23" spans="2:6" x14ac:dyDescent="0.25">
      <c r="B23" s="97"/>
      <c r="C23" s="98"/>
    </row>
  </sheetData>
  <mergeCells count="22">
    <mergeCell ref="E20:F20"/>
    <mergeCell ref="E21:F21"/>
    <mergeCell ref="E15:F15"/>
    <mergeCell ref="E16:F16"/>
    <mergeCell ref="E17:F17"/>
    <mergeCell ref="E18:F18"/>
    <mergeCell ref="E19:F19"/>
    <mergeCell ref="B1:L1"/>
    <mergeCell ref="H5:I5"/>
    <mergeCell ref="E4:F4"/>
    <mergeCell ref="B7:H7"/>
    <mergeCell ref="B14:F14"/>
    <mergeCell ref="E3:F3"/>
    <mergeCell ref="B3:C3"/>
    <mergeCell ref="H3:I3"/>
    <mergeCell ref="B4:C4"/>
    <mergeCell ref="H4:I4"/>
    <mergeCell ref="K3:L3"/>
    <mergeCell ref="K4:L4"/>
    <mergeCell ref="K5:L5"/>
    <mergeCell ref="E5:F5"/>
    <mergeCell ref="B5:C5"/>
  </mergeCells>
  <pageMargins left="0.75" right="0.75" top="1" bottom="1" header="0.5" footer="0.5"/>
  <ignoredErrors>
    <ignoredError sqref="G12" formula="1"/>
  </ignoredError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Catálogo</vt:lpstr>
      <vt:lpstr>Registro Diario</vt:lpstr>
      <vt:lpstr>Dashboard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.</cp:lastModifiedBy>
  <dcterms:created xsi:type="dcterms:W3CDTF">2026-09-19T00:31:08Z</dcterms:created>
  <dcterms:modified xsi:type="dcterms:W3CDTF">2026-09-25T17:01:59Z</dcterms:modified>
</cp:coreProperties>
</file>